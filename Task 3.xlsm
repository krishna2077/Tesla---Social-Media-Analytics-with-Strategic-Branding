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Extras\Course 2 Project\"/>
    </mc:Choice>
  </mc:AlternateContent>
  <xr:revisionPtr revIDLastSave="0" documentId="13_ncr:1_{6AA280F3-9D9B-4A88-B430-060F31C5406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ask 3" sheetId="8" r:id="rId1"/>
    <sheet name="Posts" sheetId="1" r:id="rId2"/>
    <sheet name="Engagement Summary" sheetId="2" r:id="rId3"/>
    <sheet name="Campaign Metadata" sheetId="3" r:id="rId4"/>
  </sheets>
  <definedNames>
    <definedName name="_xlnm._FilterDatabase" localSheetId="2" hidden="1">'Engagement Summary'!$A$1:$G$201</definedName>
    <definedName name="_xlnm._FilterDatabase" localSheetId="1" hidden="1">Posts!$A$1:$M$301</definedName>
    <definedName name="_xlnm._FilterDatabase" localSheetId="0" hidden="1">'Task 3'!$A$1:$G$201</definedName>
    <definedName name="_xlcn.WorksheetConnection_Tesla_Social_Media_Analyticslegion41.xlsmengage1" hidden="1">engage</definedName>
    <definedName name="_xlcn.WorksheetConnection_Tesla_Social_Media_Analyticslegion41.xlsmenglish21" hidden="1">english2</definedName>
  </definedNames>
  <calcPr calcId="191029"/>
  <pivotCaches>
    <pivotCache cacheId="3" r:id="rId5"/>
    <pivotCache cacheId="4" r:id="rId6"/>
    <pivotCache cacheId="5" r:id="rId7"/>
  </pivotCaches>
  <extLst>
    <ext xmlns:x15="http://schemas.microsoft.com/office/spreadsheetml/2010/11/main" uri="{FCE2AD5D-F65C-4FA6-A056-5C36A1767C68}">
      <x15:dataModel>
        <x15:modelTables>
          <x15:modelTable id="english2" name="english2" connection="WorksheetConnection_Tesla_Social_Media_Analyticslegion4(1).xlsm!english2"/>
          <x15:modelTable id="engage" name="engage" connection="WorksheetConnection_Tesla_Social_Media_Analyticslegion4(1).xlsm!engage"/>
        </x15:modelTables>
        <x15:modelRelationships>
          <x15:modelRelationship fromTable="english2" fromColumn="Campaign_Name" toTable="engage" toColumn="Campaign_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0" i="2" l="1"/>
  <c r="I200" i="2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H14" i="2"/>
  <c r="I14" i="2" s="1"/>
  <c r="H15" i="2"/>
  <c r="I15" i="2" s="1"/>
  <c r="H16" i="2"/>
  <c r="I16" i="2" s="1"/>
  <c r="H17" i="2"/>
  <c r="I17" i="2" s="1"/>
  <c r="H18" i="2"/>
  <c r="I18" i="2" s="1"/>
  <c r="H19" i="2"/>
  <c r="I19" i="2" s="1"/>
  <c r="H20" i="2"/>
  <c r="H21" i="2"/>
  <c r="I21" i="2" s="1"/>
  <c r="H22" i="2"/>
  <c r="I22" i="2" s="1"/>
  <c r="H23" i="2"/>
  <c r="I23" i="2" s="1"/>
  <c r="H24" i="2"/>
  <c r="I24" i="2" s="1"/>
  <c r="H25" i="2"/>
  <c r="I25" i="2" s="1"/>
  <c r="H26" i="2"/>
  <c r="I26" i="2" s="1"/>
  <c r="H27" i="2"/>
  <c r="I27" i="2" s="1"/>
  <c r="H28" i="2"/>
  <c r="I28" i="2" s="1"/>
  <c r="H29" i="2"/>
  <c r="I29" i="2" s="1"/>
  <c r="H30" i="2"/>
  <c r="I30" i="2" s="1"/>
  <c r="H31" i="2"/>
  <c r="I31" i="2" s="1"/>
  <c r="H32" i="2"/>
  <c r="I32" i="2" s="1"/>
  <c r="H33" i="2"/>
  <c r="I33" i="2" s="1"/>
  <c r="H34" i="2"/>
  <c r="I34" i="2" s="1"/>
  <c r="H35" i="2"/>
  <c r="I35" i="2" s="1"/>
  <c r="H36" i="2"/>
  <c r="I36" i="2" s="1"/>
  <c r="H37" i="2"/>
  <c r="I37" i="2" s="1"/>
  <c r="H38" i="2"/>
  <c r="I38" i="2" s="1"/>
  <c r="H39" i="2"/>
  <c r="I39" i="2" s="1"/>
  <c r="H40" i="2"/>
  <c r="I40" i="2" s="1"/>
  <c r="H41" i="2"/>
  <c r="I41" i="2" s="1"/>
  <c r="H42" i="2"/>
  <c r="I42" i="2" s="1"/>
  <c r="H43" i="2"/>
  <c r="I43" i="2" s="1"/>
  <c r="H44" i="2"/>
  <c r="H45" i="2"/>
  <c r="I45" i="2" s="1"/>
  <c r="H46" i="2"/>
  <c r="I46" i="2" s="1"/>
  <c r="H47" i="2"/>
  <c r="I47" i="2" s="1"/>
  <c r="H48" i="2"/>
  <c r="I48" i="2" s="1"/>
  <c r="H49" i="2"/>
  <c r="I44" i="2" s="1"/>
  <c r="H50" i="2"/>
  <c r="I50" i="2" s="1"/>
  <c r="H51" i="2"/>
  <c r="I51" i="2" s="1"/>
  <c r="H52" i="2"/>
  <c r="I52" i="2" s="1"/>
  <c r="H53" i="2"/>
  <c r="I53" i="2" s="1"/>
  <c r="H54" i="2"/>
  <c r="I54" i="2" s="1"/>
  <c r="H55" i="2"/>
  <c r="I55" i="2" s="1"/>
  <c r="H56" i="2"/>
  <c r="H57" i="2"/>
  <c r="I57" i="2" s="1"/>
  <c r="H58" i="2"/>
  <c r="I58" i="2" s="1"/>
  <c r="H59" i="2"/>
  <c r="I59" i="2" s="1"/>
  <c r="H60" i="2"/>
  <c r="I60" i="2" s="1"/>
  <c r="H61" i="2"/>
  <c r="I56" i="2" s="1"/>
  <c r="H62" i="2"/>
  <c r="I62" i="2" s="1"/>
  <c r="H63" i="2"/>
  <c r="I63" i="2" s="1"/>
  <c r="H64" i="2"/>
  <c r="I64" i="2" s="1"/>
  <c r="H65" i="2"/>
  <c r="I65" i="2" s="1"/>
  <c r="H66" i="2"/>
  <c r="I66" i="2" s="1"/>
  <c r="H67" i="2"/>
  <c r="I67" i="2" s="1"/>
  <c r="H68" i="2"/>
  <c r="H69" i="2"/>
  <c r="I69" i="2" s="1"/>
  <c r="H70" i="2"/>
  <c r="I70" i="2" s="1"/>
  <c r="H71" i="2"/>
  <c r="I71" i="2" s="1"/>
  <c r="H72" i="2"/>
  <c r="I72" i="2" s="1"/>
  <c r="H73" i="2"/>
  <c r="I73" i="2" s="1"/>
  <c r="H74" i="2"/>
  <c r="I74" i="2" s="1"/>
  <c r="H75" i="2"/>
  <c r="I75" i="2" s="1"/>
  <c r="H76" i="2"/>
  <c r="I76" i="2" s="1"/>
  <c r="H77" i="2"/>
  <c r="I77" i="2" s="1"/>
  <c r="H78" i="2"/>
  <c r="I78" i="2" s="1"/>
  <c r="H79" i="2"/>
  <c r="I79" i="2" s="1"/>
  <c r="H80" i="2"/>
  <c r="H81" i="2"/>
  <c r="I81" i="2" s="1"/>
  <c r="H82" i="2"/>
  <c r="I82" i="2" s="1"/>
  <c r="H83" i="2"/>
  <c r="I83" i="2" s="1"/>
  <c r="H84" i="2"/>
  <c r="H85" i="2"/>
  <c r="I80" i="2" s="1"/>
  <c r="H86" i="2"/>
  <c r="I86" i="2" s="1"/>
  <c r="H87" i="2"/>
  <c r="I87" i="2" s="1"/>
  <c r="H88" i="2"/>
  <c r="I88" i="2" s="1"/>
  <c r="H89" i="2"/>
  <c r="I89" i="2" s="1"/>
  <c r="H90" i="2"/>
  <c r="I90" i="2" s="1"/>
  <c r="H91" i="2"/>
  <c r="I91" i="2" s="1"/>
  <c r="H92" i="2"/>
  <c r="H93" i="2"/>
  <c r="I93" i="2" s="1"/>
  <c r="H94" i="2"/>
  <c r="I94" i="2" s="1"/>
  <c r="H95" i="2"/>
  <c r="I95" i="2" s="1"/>
  <c r="H96" i="2"/>
  <c r="H97" i="2"/>
  <c r="I92" i="2" s="1"/>
  <c r="H98" i="2"/>
  <c r="I98" i="2" s="1"/>
  <c r="H99" i="2"/>
  <c r="I99" i="2" s="1"/>
  <c r="H100" i="2"/>
  <c r="I100" i="2" s="1"/>
  <c r="H101" i="2"/>
  <c r="I101" i="2" s="1"/>
  <c r="H102" i="2"/>
  <c r="I102" i="2" s="1"/>
  <c r="H103" i="2"/>
  <c r="I103" i="2" s="1"/>
  <c r="H104" i="2"/>
  <c r="H105" i="2"/>
  <c r="I105" i="2" s="1"/>
  <c r="H106" i="2"/>
  <c r="I106" i="2" s="1"/>
  <c r="H107" i="2"/>
  <c r="I107" i="2" s="1"/>
  <c r="H108" i="2"/>
  <c r="H109" i="2"/>
  <c r="I104" i="2" s="1"/>
  <c r="H110" i="2"/>
  <c r="I110" i="2" s="1"/>
  <c r="H111" i="2"/>
  <c r="I111" i="2" s="1"/>
  <c r="H112" i="2"/>
  <c r="I112" i="2" s="1"/>
  <c r="H113" i="2"/>
  <c r="I113" i="2" s="1"/>
  <c r="H114" i="2"/>
  <c r="I114" i="2" s="1"/>
  <c r="H115" i="2"/>
  <c r="I115" i="2" s="1"/>
  <c r="H116" i="2"/>
  <c r="H117" i="2"/>
  <c r="I117" i="2" s="1"/>
  <c r="H118" i="2"/>
  <c r="I118" i="2" s="1"/>
  <c r="H119" i="2"/>
  <c r="I119" i="2" s="1"/>
  <c r="H120" i="2"/>
  <c r="H121" i="2"/>
  <c r="I116" i="2" s="1"/>
  <c r="H122" i="2"/>
  <c r="I122" i="2" s="1"/>
  <c r="H123" i="2"/>
  <c r="I123" i="2" s="1"/>
  <c r="H124" i="2"/>
  <c r="I124" i="2" s="1"/>
  <c r="H125" i="2"/>
  <c r="I125" i="2" s="1"/>
  <c r="H126" i="2"/>
  <c r="I126" i="2" s="1"/>
  <c r="H127" i="2"/>
  <c r="I127" i="2" s="1"/>
  <c r="H128" i="2"/>
  <c r="H129" i="2"/>
  <c r="I129" i="2" s="1"/>
  <c r="H130" i="2"/>
  <c r="I130" i="2" s="1"/>
  <c r="H131" i="2"/>
  <c r="I131" i="2" s="1"/>
  <c r="H132" i="2"/>
  <c r="H133" i="2"/>
  <c r="I128" i="2" s="1"/>
  <c r="H134" i="2"/>
  <c r="I134" i="2" s="1"/>
  <c r="H135" i="2"/>
  <c r="I135" i="2" s="1"/>
  <c r="H136" i="2"/>
  <c r="I136" i="2" s="1"/>
  <c r="H137" i="2"/>
  <c r="I137" i="2" s="1"/>
  <c r="H138" i="2"/>
  <c r="I138" i="2" s="1"/>
  <c r="H139" i="2"/>
  <c r="I139" i="2" s="1"/>
  <c r="H140" i="2"/>
  <c r="H141" i="2"/>
  <c r="I141" i="2" s="1"/>
  <c r="H142" i="2"/>
  <c r="I142" i="2" s="1"/>
  <c r="H143" i="2"/>
  <c r="I143" i="2" s="1"/>
  <c r="H144" i="2"/>
  <c r="H145" i="2"/>
  <c r="I140" i="2" s="1"/>
  <c r="H146" i="2"/>
  <c r="I146" i="2" s="1"/>
  <c r="H147" i="2"/>
  <c r="I147" i="2" s="1"/>
  <c r="H148" i="2"/>
  <c r="I148" i="2" s="1"/>
  <c r="H149" i="2"/>
  <c r="I149" i="2" s="1"/>
  <c r="H150" i="2"/>
  <c r="I150" i="2" s="1"/>
  <c r="H151" i="2"/>
  <c r="I151" i="2" s="1"/>
  <c r="H152" i="2"/>
  <c r="H153" i="2"/>
  <c r="I153" i="2" s="1"/>
  <c r="H154" i="2"/>
  <c r="H155" i="2"/>
  <c r="I154" i="2" s="1"/>
  <c r="H156" i="2"/>
  <c r="H157" i="2"/>
  <c r="I152" i="2" s="1"/>
  <c r="H158" i="2"/>
  <c r="I158" i="2" s="1"/>
  <c r="H159" i="2"/>
  <c r="I159" i="2" s="1"/>
  <c r="H160" i="2"/>
  <c r="I160" i="2" s="1"/>
  <c r="H161" i="2"/>
  <c r="I161" i="2" s="1"/>
  <c r="H162" i="2"/>
  <c r="I162" i="2" s="1"/>
  <c r="H163" i="2"/>
  <c r="I163" i="2" s="1"/>
  <c r="H164" i="2"/>
  <c r="H165" i="2"/>
  <c r="I165" i="2" s="1"/>
  <c r="H166" i="2"/>
  <c r="H167" i="2"/>
  <c r="I166" i="2" s="1"/>
  <c r="H168" i="2"/>
  <c r="H169" i="2"/>
  <c r="I164" i="2" s="1"/>
  <c r="H170" i="2"/>
  <c r="I170" i="2" s="1"/>
  <c r="H171" i="2"/>
  <c r="I171" i="2" s="1"/>
  <c r="H172" i="2"/>
  <c r="I172" i="2" s="1"/>
  <c r="H173" i="2"/>
  <c r="I173" i="2" s="1"/>
  <c r="H174" i="2"/>
  <c r="H175" i="2"/>
  <c r="I175" i="2" s="1"/>
  <c r="H176" i="2"/>
  <c r="I174" i="2" s="1"/>
  <c r="H177" i="2"/>
  <c r="I177" i="2" s="1"/>
  <c r="H178" i="2"/>
  <c r="H179" i="2"/>
  <c r="I179" i="2" s="1"/>
  <c r="H180" i="2"/>
  <c r="H181" i="2"/>
  <c r="I176" i="2" s="1"/>
  <c r="H182" i="2"/>
  <c r="I182" i="2" s="1"/>
  <c r="H183" i="2"/>
  <c r="I183" i="2" s="1"/>
  <c r="H184" i="2"/>
  <c r="I184" i="2" s="1"/>
  <c r="H185" i="2"/>
  <c r="I185" i="2" s="1"/>
  <c r="H186" i="2"/>
  <c r="H187" i="2"/>
  <c r="I187" i="2" s="1"/>
  <c r="H188" i="2"/>
  <c r="I186" i="2" s="1"/>
  <c r="H189" i="2"/>
  <c r="I189" i="2" s="1"/>
  <c r="H190" i="2"/>
  <c r="H191" i="2"/>
  <c r="I191" i="2" s="1"/>
  <c r="H192" i="2"/>
  <c r="H193" i="2"/>
  <c r="I188" i="2" s="1"/>
  <c r="H194" i="2"/>
  <c r="I194" i="2" s="1"/>
  <c r="H195" i="2"/>
  <c r="I195" i="2" s="1"/>
  <c r="H196" i="2"/>
  <c r="I196" i="2" s="1"/>
  <c r="H197" i="2"/>
  <c r="I197" i="2" s="1"/>
  <c r="H198" i="2"/>
  <c r="H199" i="2"/>
  <c r="I199" i="2" s="1"/>
  <c r="H200" i="2"/>
  <c r="I198" i="2" s="1"/>
  <c r="H201" i="2"/>
  <c r="I201" i="2" s="1"/>
  <c r="H2" i="2"/>
  <c r="I2" i="2" s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2" i="1"/>
  <c r="H201" i="8"/>
  <c r="H200" i="8"/>
  <c r="H199" i="8"/>
  <c r="H198" i="8"/>
  <c r="H197" i="8"/>
  <c r="H196" i="8"/>
  <c r="H195" i="8"/>
  <c r="H194" i="8"/>
  <c r="H193" i="8"/>
  <c r="H192" i="8"/>
  <c r="H191" i="8"/>
  <c r="H190" i="8"/>
  <c r="H189" i="8"/>
  <c r="H188" i="8"/>
  <c r="H187" i="8"/>
  <c r="H186" i="8"/>
  <c r="H185" i="8"/>
  <c r="H184" i="8"/>
  <c r="H183" i="8"/>
  <c r="H182" i="8"/>
  <c r="H181" i="8"/>
  <c r="H180" i="8"/>
  <c r="H179" i="8"/>
  <c r="H178" i="8"/>
  <c r="H177" i="8"/>
  <c r="H176" i="8"/>
  <c r="H175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I68" i="2" l="1"/>
  <c r="I193" i="2"/>
  <c r="I181" i="2"/>
  <c r="I169" i="2"/>
  <c r="I157" i="2"/>
  <c r="I145" i="2"/>
  <c r="I133" i="2"/>
  <c r="I121" i="2"/>
  <c r="I109" i="2"/>
  <c r="I97" i="2"/>
  <c r="I85" i="2"/>
  <c r="I61" i="2"/>
  <c r="I49" i="2"/>
  <c r="I180" i="2"/>
  <c r="I156" i="2"/>
  <c r="I108" i="2"/>
  <c r="I96" i="2"/>
  <c r="I84" i="2"/>
  <c r="I192" i="2"/>
  <c r="I168" i="2"/>
  <c r="I120" i="2"/>
  <c r="I167" i="2"/>
  <c r="I155" i="2"/>
  <c r="I144" i="2"/>
  <c r="I178" i="2"/>
  <c r="I132" i="2"/>
  <c r="I19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8DA6F4-B3FD-4B83-8F77-6FB61319F34C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4="http://schemas.microsoft.com/office/spreadsheetml/2009/9/main" uri="{D79990A0-CA42-45e3-83F4-45C500A0EAA5}">
        <x14:connection culture="" embeddedDataId="">
          <x14:calculatedMembers count="1">
            <calculatedMember name="[ROI]" mdx="{([Measures].[Sum of Total_Budget]),([Measures].[Sum of Engagement])}" set="1">
              <extLst>
                <ext xmlns:x14="http://schemas.microsoft.com/office/spreadsheetml/2009/9/main" uri="{0C70D0D5-359C-4a49-802D-23BBF952B5CE}">
                  <x14:calculatedMember flattenHierarchies="0" hierarchizeDistinct="0">
                    <x14:tupleSet rowCount="2">
                      <x14:headers>
                        <x14:header/>
                      </x14:headers>
                      <x14:rows>
                        <x14:row>
                          <x14:rowItem u="[Measures].[Sum of Total_Budget]" d="Sum of Total_Budget"/>
                        </x14:row>
                        <x14:row>
                          <x14:rowItem u="[Measures].[Sum of Engagement]" d="Sum of Engagement"/>
                        </x14:row>
                      </x14:rows>
                    </x14:tupleSet>
                  </x14:calculatedMember>
                </ext>
              </extLst>
            </calculatedMember>
          </x14:calculatedMembers>
        </x14:connection>
      </ext>
      <ext xmlns:x15="http://schemas.microsoft.com/office/spreadsheetml/2010/11/main" uri="{DE250136-89BD-433C-8126-D09CA5730AF9}">
        <x15:connection id="" model="1"/>
      </ext>
    </extLst>
  </connection>
  <connection id="2" xr16:uid="{9B93965B-9B6E-48EA-95AD-D5C296132313}" name="WorksheetConnection_Tesla_Social_Media_Analyticslegion4(1).xlsm!engage" type="102" refreshedVersion="8" minRefreshableVersion="5">
    <extLst>
      <ext xmlns:x15="http://schemas.microsoft.com/office/spreadsheetml/2010/11/main" uri="{DE250136-89BD-433C-8126-D09CA5730AF9}">
        <x15:connection id="engage">
          <x15:rangePr sourceName="_xlcn.WorksheetConnection_Tesla_Social_Media_Analyticslegion41.xlsmengage1"/>
        </x15:connection>
      </ext>
    </extLst>
  </connection>
  <connection id="3" xr16:uid="{5B5CF665-0FE1-48D5-864B-DEAD02C8611F}" name="WorksheetConnection_Tesla_Social_Media_Analyticslegion4(1).xlsm!english2" type="102" refreshedVersion="8" minRefreshableVersion="5">
    <extLst>
      <ext xmlns:x15="http://schemas.microsoft.com/office/spreadsheetml/2010/11/main" uri="{DE250136-89BD-433C-8126-D09CA5730AF9}">
        <x15:connection id="english2">
          <x15:rangePr sourceName="_xlcn.WorksheetConnection_Tesla_Social_Media_Analyticslegion41.xlsmenglish21"/>
        </x15:connection>
      </ext>
    </extLst>
  </connection>
</connections>
</file>

<file path=xl/sharedStrings.xml><?xml version="1.0" encoding="utf-8"?>
<sst xmlns="http://schemas.openxmlformats.org/spreadsheetml/2006/main" count="3335" uniqueCount="627">
  <si>
    <t>Post ID</t>
  </si>
  <si>
    <t>Platform</t>
  </si>
  <si>
    <t>Date</t>
  </si>
  <si>
    <t>Content Type</t>
  </si>
  <si>
    <t>Post Text</t>
  </si>
  <si>
    <t>Likes</t>
  </si>
  <si>
    <t>Shares</t>
  </si>
  <si>
    <t>Comments</t>
  </si>
  <si>
    <t>Impressions</t>
  </si>
  <si>
    <t>Reach</t>
  </si>
  <si>
    <t>Clicks</t>
  </si>
  <si>
    <t>Hashtags Used</t>
  </si>
  <si>
    <t>Campaign_Name</t>
  </si>
  <si>
    <t>P001</t>
  </si>
  <si>
    <t>Twitter</t>
  </si>
  <si>
    <t>2024-12-23</t>
  </si>
  <si>
    <t>Reel</t>
  </si>
  <si>
    <t>Check out our latest reel on twitter!</t>
  </si>
  <si>
    <t>#FutureOfDriving,#AnytimeIsTeslaTime</t>
  </si>
  <si>
    <t>CybertruckLaunch</t>
  </si>
  <si>
    <t>P002</t>
  </si>
  <si>
    <t>2025-04-03</t>
  </si>
  <si>
    <t>Text</t>
  </si>
  <si>
    <t>Check out our latest text on twitter!</t>
  </si>
  <si>
    <t>#TeslaCoInnovation,#BetterWithTesla</t>
  </si>
  <si>
    <t>ModelYCampaign</t>
  </si>
  <si>
    <t>P003</t>
  </si>
  <si>
    <t>YouTube</t>
  </si>
  <si>
    <t>2025-05-12</t>
  </si>
  <si>
    <t>Check out our latest reel on youtube!</t>
  </si>
  <si>
    <t>#TeslaCoInnovation</t>
  </si>
  <si>
    <t>FSDUpdate</t>
  </si>
  <si>
    <t>P004</t>
  </si>
  <si>
    <t>Instagram</t>
  </si>
  <si>
    <t>2024-08-12</t>
  </si>
  <si>
    <t>Story</t>
  </si>
  <si>
    <t>Check out our latest story on instagram!</t>
  </si>
  <si>
    <t>#EVRevolution</t>
  </si>
  <si>
    <t>SustainabilityDrive</t>
  </si>
  <si>
    <t>P005</t>
  </si>
  <si>
    <t>2024-06-26</t>
  </si>
  <si>
    <t>#EVRevolution,#TeslaCoInnovation</t>
  </si>
  <si>
    <t>P006</t>
  </si>
  <si>
    <t>Facebook</t>
  </si>
  <si>
    <t>2024-10-31</t>
  </si>
  <si>
    <t>Carousel</t>
  </si>
  <si>
    <t>Check out our latest carousel on facebook!</t>
  </si>
  <si>
    <t>P007</t>
  </si>
  <si>
    <t>2024-06-24</t>
  </si>
  <si>
    <t>Check out our latest carousel on twitter!</t>
  </si>
  <si>
    <t>P008</t>
  </si>
  <si>
    <t>2024-07-13</t>
  </si>
  <si>
    <t>Image</t>
  </si>
  <si>
    <t>Check out our latest image on youtube!</t>
  </si>
  <si>
    <t>P009</t>
  </si>
  <si>
    <t>2024-08-30</t>
  </si>
  <si>
    <t>Check out our latest text on facebook!</t>
  </si>
  <si>
    <t>P010</t>
  </si>
  <si>
    <t>2025-03-11</t>
  </si>
  <si>
    <t>Check out our latest image on facebook!</t>
  </si>
  <si>
    <t>P011</t>
  </si>
  <si>
    <t>2025-02-02</t>
  </si>
  <si>
    <t>#FutureOfDriving</t>
  </si>
  <si>
    <t>P012</t>
  </si>
  <si>
    <t>2024-07-21</t>
  </si>
  <si>
    <t>Check out our latest reel on facebook!</t>
  </si>
  <si>
    <t>P013</t>
  </si>
  <si>
    <t>2024-11-18</t>
  </si>
  <si>
    <t>Check out our latest carousel on youtube!</t>
  </si>
  <si>
    <t>P014</t>
  </si>
  <si>
    <t>2025-02-16</t>
  </si>
  <si>
    <t>Check out our latest story on facebook!</t>
  </si>
  <si>
    <t>P015</t>
  </si>
  <si>
    <t>2024-10-24</t>
  </si>
  <si>
    <t>Video</t>
  </si>
  <si>
    <t>Check out our latest video on facebook!</t>
  </si>
  <si>
    <t>P016</t>
  </si>
  <si>
    <t>2024-08-26</t>
  </si>
  <si>
    <t>P017</t>
  </si>
  <si>
    <t>2025-05-05</t>
  </si>
  <si>
    <t>P018</t>
  </si>
  <si>
    <t>2024-08-19</t>
  </si>
  <si>
    <t>Check out our latest reel on instagram!</t>
  </si>
  <si>
    <t>P019</t>
  </si>
  <si>
    <t>2024-06-23</t>
  </si>
  <si>
    <t>Check out our latest video on instagram!</t>
  </si>
  <si>
    <t>P020</t>
  </si>
  <si>
    <t>2024-09-09</t>
  </si>
  <si>
    <t>Check out our latest carousel on instagram!</t>
  </si>
  <si>
    <t>P021</t>
  </si>
  <si>
    <t>2025-01-04</t>
  </si>
  <si>
    <t>P022</t>
  </si>
  <si>
    <t>2025-02-27</t>
  </si>
  <si>
    <t>P023</t>
  </si>
  <si>
    <t>2024-11-06</t>
  </si>
  <si>
    <t>#TeslaCoInnovation,#AnytimeIsTeslaTime</t>
  </si>
  <si>
    <t>P024</t>
  </si>
  <si>
    <t>2025-01-23</t>
  </si>
  <si>
    <t>P025</t>
  </si>
  <si>
    <t>2025-04-10</t>
  </si>
  <si>
    <t>P026</t>
  </si>
  <si>
    <t>2025-04-05</t>
  </si>
  <si>
    <t>P027</t>
  </si>
  <si>
    <t>2024-09-17</t>
  </si>
  <si>
    <t>Check out our latest text on youtube!</t>
  </si>
  <si>
    <t>P028</t>
  </si>
  <si>
    <t>2025-03-04</t>
  </si>
  <si>
    <t>P029</t>
  </si>
  <si>
    <t>2025-01-31</t>
  </si>
  <si>
    <t>P030</t>
  </si>
  <si>
    <t>2025-02-25</t>
  </si>
  <si>
    <t>P031</t>
  </si>
  <si>
    <t>2024-12-16</t>
  </si>
  <si>
    <t>Check out our latest text on instagram!</t>
  </si>
  <si>
    <t>P032</t>
  </si>
  <si>
    <t>2024-07-31</t>
  </si>
  <si>
    <t>P033</t>
  </si>
  <si>
    <t>2024-08-21</t>
  </si>
  <si>
    <t>P034</t>
  </si>
  <si>
    <t>2025-03-26</t>
  </si>
  <si>
    <t>P035</t>
  </si>
  <si>
    <t>2024-11-30</t>
  </si>
  <si>
    <t>P036</t>
  </si>
  <si>
    <t>2025-04-19</t>
  </si>
  <si>
    <t>P037</t>
  </si>
  <si>
    <t>2025-01-06</t>
  </si>
  <si>
    <t>P038</t>
  </si>
  <si>
    <t>2025-02-17</t>
  </si>
  <si>
    <t>P039</t>
  </si>
  <si>
    <t>2024-11-25</t>
  </si>
  <si>
    <t>P040</t>
  </si>
  <si>
    <t>2025-03-07</t>
  </si>
  <si>
    <t>Check out our latest image on twitter!</t>
  </si>
  <si>
    <t>P041</t>
  </si>
  <si>
    <t>2025-03-08</t>
  </si>
  <si>
    <t>P042</t>
  </si>
  <si>
    <t>2025-03-05</t>
  </si>
  <si>
    <t>P043</t>
  </si>
  <si>
    <t>2024-12-14</t>
  </si>
  <si>
    <t>P044</t>
  </si>
  <si>
    <t>2025-03-02</t>
  </si>
  <si>
    <t>P045</t>
  </si>
  <si>
    <t>2024-11-01</t>
  </si>
  <si>
    <t>P046</t>
  </si>
  <si>
    <t>2025-05-02</t>
  </si>
  <si>
    <t>Check out our latest video on twitter!</t>
  </si>
  <si>
    <t>P047</t>
  </si>
  <si>
    <t>2025-02-24</t>
  </si>
  <si>
    <t>P048</t>
  </si>
  <si>
    <t>Check out our latest story on twitter!</t>
  </si>
  <si>
    <t>P049</t>
  </si>
  <si>
    <t>2024-06-10</t>
  </si>
  <si>
    <t>P050</t>
  </si>
  <si>
    <t>2024-07-03</t>
  </si>
  <si>
    <t>Check out our latest story on youtube!</t>
  </si>
  <si>
    <t>P051</t>
  </si>
  <si>
    <t>2024-06-13</t>
  </si>
  <si>
    <t>P052</t>
  </si>
  <si>
    <t>2025-01-03</t>
  </si>
  <si>
    <t>P053</t>
  </si>
  <si>
    <t>#EVRevolution,#BetterWithTesla</t>
  </si>
  <si>
    <t>P054</t>
  </si>
  <si>
    <t>2025-03-13</t>
  </si>
  <si>
    <t>P055</t>
  </si>
  <si>
    <t>2024-06-17</t>
  </si>
  <si>
    <t>P056</t>
  </si>
  <si>
    <t>2024-12-18</t>
  </si>
  <si>
    <t>P057</t>
  </si>
  <si>
    <t>2024-10-21</t>
  </si>
  <si>
    <t>P058</t>
  </si>
  <si>
    <t>2025-04-15</t>
  </si>
  <si>
    <t>P059</t>
  </si>
  <si>
    <t>2024-06-22</t>
  </si>
  <si>
    <t>P060</t>
  </si>
  <si>
    <t>2025-01-28</t>
  </si>
  <si>
    <t>#EVRevolution,#TeslaCoInnovation,#AnytimeIsTeslaTime</t>
  </si>
  <si>
    <t>P061</t>
  </si>
  <si>
    <t>2024-09-05</t>
  </si>
  <si>
    <t>P062</t>
  </si>
  <si>
    <t>2024-11-22</t>
  </si>
  <si>
    <t>P063</t>
  </si>
  <si>
    <t>P064</t>
  </si>
  <si>
    <t>2024-08-17</t>
  </si>
  <si>
    <t>P065</t>
  </si>
  <si>
    <t>2025-03-28</t>
  </si>
  <si>
    <t>P066</t>
  </si>
  <si>
    <t>2024-07-26</t>
  </si>
  <si>
    <t>P067</t>
  </si>
  <si>
    <t>2025-03-29</t>
  </si>
  <si>
    <t>P068</t>
  </si>
  <si>
    <t>2024-12-08</t>
  </si>
  <si>
    <t>P069</t>
  </si>
  <si>
    <t>P070</t>
  </si>
  <si>
    <t>2025-04-02</t>
  </si>
  <si>
    <t>P071</t>
  </si>
  <si>
    <t>2024-09-02</t>
  </si>
  <si>
    <t>P072</t>
  </si>
  <si>
    <t>2025-03-03</t>
  </si>
  <si>
    <t>P073</t>
  </si>
  <si>
    <t>2024-10-18</t>
  </si>
  <si>
    <t>P074</t>
  </si>
  <si>
    <t>2024-10-28</t>
  </si>
  <si>
    <t>P075</t>
  </si>
  <si>
    <t>2024-08-01</t>
  </si>
  <si>
    <t>P076</t>
  </si>
  <si>
    <t>2024-11-07</t>
  </si>
  <si>
    <t>P077</t>
  </si>
  <si>
    <t>P078</t>
  </si>
  <si>
    <t>P079</t>
  </si>
  <si>
    <t>2024-10-09</t>
  </si>
  <si>
    <t>P080</t>
  </si>
  <si>
    <t>P081</t>
  </si>
  <si>
    <t>2024-10-19</t>
  </si>
  <si>
    <t>P082</t>
  </si>
  <si>
    <t>2024-07-24</t>
  </si>
  <si>
    <t>Check out our latest image on instagram!</t>
  </si>
  <si>
    <t>#FutureOfDriving,#TeslaCoInnovation,#AnytimeIsTeslaTime</t>
  </si>
  <si>
    <t>P083</t>
  </si>
  <si>
    <t>2024-10-15</t>
  </si>
  <si>
    <t>Check out our latest video on youtube!</t>
  </si>
  <si>
    <t>P084</t>
  </si>
  <si>
    <t>2024-12-09</t>
  </si>
  <si>
    <t>P085</t>
  </si>
  <si>
    <t>P086</t>
  </si>
  <si>
    <t>2025-01-27</t>
  </si>
  <si>
    <t>P087</t>
  </si>
  <si>
    <t>2024-06-06</t>
  </si>
  <si>
    <t>P088</t>
  </si>
  <si>
    <t>2024-07-07</t>
  </si>
  <si>
    <t>P089</t>
  </si>
  <si>
    <t>2025-01-10</t>
  </si>
  <si>
    <t>P090</t>
  </si>
  <si>
    <t>2024-06-03</t>
  </si>
  <si>
    <t>P091</t>
  </si>
  <si>
    <t>2025-03-24</t>
  </si>
  <si>
    <t>P092</t>
  </si>
  <si>
    <t>P093</t>
  </si>
  <si>
    <t>2024-12-11</t>
  </si>
  <si>
    <t>P094</t>
  </si>
  <si>
    <t>P095</t>
  </si>
  <si>
    <t>2024-11-08</t>
  </si>
  <si>
    <t>P096</t>
  </si>
  <si>
    <t>2024-09-10</t>
  </si>
  <si>
    <t>P097</t>
  </si>
  <si>
    <t>2024-08-13</t>
  </si>
  <si>
    <t>P098</t>
  </si>
  <si>
    <t>P099</t>
  </si>
  <si>
    <t>2024-07-02</t>
  </si>
  <si>
    <t>P100</t>
  </si>
  <si>
    <t>2025-02-10</t>
  </si>
  <si>
    <t>P101</t>
  </si>
  <si>
    <t>P102</t>
  </si>
  <si>
    <t>2024-09-18</t>
  </si>
  <si>
    <t>P103</t>
  </si>
  <si>
    <t>2024-06-11</t>
  </si>
  <si>
    <t>P104</t>
  </si>
  <si>
    <t>2025-03-23</t>
  </si>
  <si>
    <t>P105</t>
  </si>
  <si>
    <t>2024-06-14</t>
  </si>
  <si>
    <t>P106</t>
  </si>
  <si>
    <t>2025-02-04</t>
  </si>
  <si>
    <t>P107</t>
  </si>
  <si>
    <t>2024-06-21</t>
  </si>
  <si>
    <t>P108</t>
  </si>
  <si>
    <t>2025-03-25</t>
  </si>
  <si>
    <t>P109</t>
  </si>
  <si>
    <t>2024-08-08</t>
  </si>
  <si>
    <t>P110</t>
  </si>
  <si>
    <t>2024-07-29</t>
  </si>
  <si>
    <t>P111</t>
  </si>
  <si>
    <t>2024-11-23</t>
  </si>
  <si>
    <t>P112</t>
  </si>
  <si>
    <t>2024-10-05</t>
  </si>
  <si>
    <t>P113</t>
  </si>
  <si>
    <t>2024-10-02</t>
  </si>
  <si>
    <t>P114</t>
  </si>
  <si>
    <t>2024-11-14</t>
  </si>
  <si>
    <t>P115</t>
  </si>
  <si>
    <t>2025-05-11</t>
  </si>
  <si>
    <t>P116</t>
  </si>
  <si>
    <t>2025-03-18</t>
  </si>
  <si>
    <t>P117</t>
  </si>
  <si>
    <t>2024-11-04</t>
  </si>
  <si>
    <t>P118</t>
  </si>
  <si>
    <t>P119</t>
  </si>
  <si>
    <t>2025-02-07</t>
  </si>
  <si>
    <t>P120</t>
  </si>
  <si>
    <t>P121</t>
  </si>
  <si>
    <t>P122</t>
  </si>
  <si>
    <t>P123</t>
  </si>
  <si>
    <t>P124</t>
  </si>
  <si>
    <t>2025-04-06</t>
  </si>
  <si>
    <t>P125</t>
  </si>
  <si>
    <t>2024-09-08</t>
  </si>
  <si>
    <t>P126</t>
  </si>
  <si>
    <t>P127</t>
  </si>
  <si>
    <t>P128</t>
  </si>
  <si>
    <t>P129</t>
  </si>
  <si>
    <t>P130</t>
  </si>
  <si>
    <t>2024-09-29</t>
  </si>
  <si>
    <t>P131</t>
  </si>
  <si>
    <t>P132</t>
  </si>
  <si>
    <t>P133</t>
  </si>
  <si>
    <t>2025-02-06</t>
  </si>
  <si>
    <t>P134</t>
  </si>
  <si>
    <t>2025-04-24</t>
  </si>
  <si>
    <t>P135</t>
  </si>
  <si>
    <t>2024-11-28</t>
  </si>
  <si>
    <t>P136</t>
  </si>
  <si>
    <t>2024-07-11</t>
  </si>
  <si>
    <t>P137</t>
  </si>
  <si>
    <t>P138</t>
  </si>
  <si>
    <t>P139</t>
  </si>
  <si>
    <t>2024-10-29</t>
  </si>
  <si>
    <t>P140</t>
  </si>
  <si>
    <t>2024-07-15</t>
  </si>
  <si>
    <t>#EVRevolution,#SmoothLikeNitroTesla</t>
  </si>
  <si>
    <t>P141</t>
  </si>
  <si>
    <t>2024-08-31</t>
  </si>
  <si>
    <t>P142</t>
  </si>
  <si>
    <t>P143</t>
  </si>
  <si>
    <t>P144</t>
  </si>
  <si>
    <t>P145</t>
  </si>
  <si>
    <t>P146</t>
  </si>
  <si>
    <t>2024-06-05</t>
  </si>
  <si>
    <t>#EVRevolution,#AnytimeIsTeslaTime</t>
  </si>
  <si>
    <t>P147</t>
  </si>
  <si>
    <t>P148</t>
  </si>
  <si>
    <t>P149</t>
  </si>
  <si>
    <t>2024-06-16</t>
  </si>
  <si>
    <t>P150</t>
  </si>
  <si>
    <t>2024-08-22</t>
  </si>
  <si>
    <t>P151</t>
  </si>
  <si>
    <t>P152</t>
  </si>
  <si>
    <t>2025-04-22</t>
  </si>
  <si>
    <t>P153</t>
  </si>
  <si>
    <t>2025-01-01</t>
  </si>
  <si>
    <t>P154</t>
  </si>
  <si>
    <t>P155</t>
  </si>
  <si>
    <t>2024-12-21</t>
  </si>
  <si>
    <t>P156</t>
  </si>
  <si>
    <t>2024-10-22</t>
  </si>
  <si>
    <t>P157</t>
  </si>
  <si>
    <t>2024-07-23</t>
  </si>
  <si>
    <t>P158</t>
  </si>
  <si>
    <t>2024-08-11</t>
  </si>
  <si>
    <t>P159</t>
  </si>
  <si>
    <t>P160</t>
  </si>
  <si>
    <t>2024-08-24</t>
  </si>
  <si>
    <t>P161</t>
  </si>
  <si>
    <t>2025-02-19</t>
  </si>
  <si>
    <t>P162</t>
  </si>
  <si>
    <t>2025-04-01</t>
  </si>
  <si>
    <t>P163</t>
  </si>
  <si>
    <t>2025-04-08</t>
  </si>
  <si>
    <t>P164</t>
  </si>
  <si>
    <t>P165</t>
  </si>
  <si>
    <t>P166</t>
  </si>
  <si>
    <t>P167</t>
  </si>
  <si>
    <t>P168</t>
  </si>
  <si>
    <t>2024-11-12</t>
  </si>
  <si>
    <t>P169</t>
  </si>
  <si>
    <t>2024-12-03</t>
  </si>
  <si>
    <t>P170</t>
  </si>
  <si>
    <t>2025-04-28</t>
  </si>
  <si>
    <t>P171</t>
  </si>
  <si>
    <t>2024-12-31</t>
  </si>
  <si>
    <t>P172</t>
  </si>
  <si>
    <t>2024-08-14</t>
  </si>
  <si>
    <t>P173</t>
  </si>
  <si>
    <t>2024-12-05</t>
  </si>
  <si>
    <t>P174</t>
  </si>
  <si>
    <t>P175</t>
  </si>
  <si>
    <t>2025-01-17</t>
  </si>
  <si>
    <t>P176</t>
  </si>
  <si>
    <t>2024-06-20</t>
  </si>
  <si>
    <t>P177</t>
  </si>
  <si>
    <t>2024-07-10</t>
  </si>
  <si>
    <t>P178</t>
  </si>
  <si>
    <t>P179</t>
  </si>
  <si>
    <t>P180</t>
  </si>
  <si>
    <t>P181</t>
  </si>
  <si>
    <t>2025-03-21</t>
  </si>
  <si>
    <t>P182</t>
  </si>
  <si>
    <t>P183</t>
  </si>
  <si>
    <t>2024-12-17</t>
  </si>
  <si>
    <t>P184</t>
  </si>
  <si>
    <t>2024-07-28</t>
  </si>
  <si>
    <t>P185</t>
  </si>
  <si>
    <t>2025-01-11</t>
  </si>
  <si>
    <t>P186</t>
  </si>
  <si>
    <t>P187</t>
  </si>
  <si>
    <t>2024-12-22</t>
  </si>
  <si>
    <t>P188</t>
  </si>
  <si>
    <t>P189</t>
  </si>
  <si>
    <t>P190</t>
  </si>
  <si>
    <t>2024-10-04</t>
  </si>
  <si>
    <t>P191</t>
  </si>
  <si>
    <t>P192</t>
  </si>
  <si>
    <t>2024-11-29</t>
  </si>
  <si>
    <t>P193</t>
  </si>
  <si>
    <t>2024-09-11</t>
  </si>
  <si>
    <t>P194</t>
  </si>
  <si>
    <t>P195</t>
  </si>
  <si>
    <t>2024-08-15</t>
  </si>
  <si>
    <t>P196</t>
  </si>
  <si>
    <t>2024-12-19</t>
  </si>
  <si>
    <t>P197</t>
  </si>
  <si>
    <t>P198</t>
  </si>
  <si>
    <t>2024-09-14</t>
  </si>
  <si>
    <t>P199</t>
  </si>
  <si>
    <t>P200</t>
  </si>
  <si>
    <t>2025-04-07</t>
  </si>
  <si>
    <t>P201</t>
  </si>
  <si>
    <t>2025-01-15</t>
  </si>
  <si>
    <t>P202</t>
  </si>
  <si>
    <t>2024-06-02</t>
  </si>
  <si>
    <t>P203</t>
  </si>
  <si>
    <t>2024-11-21</t>
  </si>
  <si>
    <t>P204</t>
  </si>
  <si>
    <t>P205</t>
  </si>
  <si>
    <t>#TeslaCoInnovation,#SmoothLikeNitroTesla</t>
  </si>
  <si>
    <t>P206</t>
  </si>
  <si>
    <t>P207</t>
  </si>
  <si>
    <t>2024-12-29</t>
  </si>
  <si>
    <t>P208</t>
  </si>
  <si>
    <t>P209</t>
  </si>
  <si>
    <t>2025-03-19</t>
  </si>
  <si>
    <t>P210</t>
  </si>
  <si>
    <t>P211</t>
  </si>
  <si>
    <t>2024-07-18</t>
  </si>
  <si>
    <t>P212</t>
  </si>
  <si>
    <t>P213</t>
  </si>
  <si>
    <t>2025-05-01</t>
  </si>
  <si>
    <t>P214</t>
  </si>
  <si>
    <t>P215</t>
  </si>
  <si>
    <t>2025-05-06</t>
  </si>
  <si>
    <t>P216</t>
  </si>
  <si>
    <t>P217</t>
  </si>
  <si>
    <t>P218</t>
  </si>
  <si>
    <t>P219</t>
  </si>
  <si>
    <t>P220</t>
  </si>
  <si>
    <t>P221</t>
  </si>
  <si>
    <t>P222</t>
  </si>
  <si>
    <t>2024-10-08</t>
  </si>
  <si>
    <t>#FutureOfDriving,#SmoothLikeNitroTesla</t>
  </si>
  <si>
    <t>P223</t>
  </si>
  <si>
    <t>P224</t>
  </si>
  <si>
    <t>2025-05-13</t>
  </si>
  <si>
    <t>P225</t>
  </si>
  <si>
    <t>P226</t>
  </si>
  <si>
    <t>2024-08-07</t>
  </si>
  <si>
    <t>P227</t>
  </si>
  <si>
    <t>2024-06-12</t>
  </si>
  <si>
    <t>P228</t>
  </si>
  <si>
    <t>2024-07-01</t>
  </si>
  <si>
    <t>P229</t>
  </si>
  <si>
    <t>P230</t>
  </si>
  <si>
    <t>P231</t>
  </si>
  <si>
    <t>P232</t>
  </si>
  <si>
    <t>2025-04-29</t>
  </si>
  <si>
    <t>P233</t>
  </si>
  <si>
    <t>P234</t>
  </si>
  <si>
    <t>2024-06-01</t>
  </si>
  <si>
    <t>P235</t>
  </si>
  <si>
    <t>P236</t>
  </si>
  <si>
    <t>#FutureOfDriving,#AnytimeIsTeslaTime,#EVRevolution</t>
  </si>
  <si>
    <t>P237</t>
  </si>
  <si>
    <t>P238</t>
  </si>
  <si>
    <t>2024-07-16</t>
  </si>
  <si>
    <t>P239</t>
  </si>
  <si>
    <t>P240</t>
  </si>
  <si>
    <t>P241</t>
  </si>
  <si>
    <t>2025-01-18</t>
  </si>
  <si>
    <t>P242</t>
  </si>
  <si>
    <t>P243</t>
  </si>
  <si>
    <t>2025-03-06</t>
  </si>
  <si>
    <t>P244</t>
  </si>
  <si>
    <t>2024-10-25</t>
  </si>
  <si>
    <t>P245</t>
  </si>
  <si>
    <t>2025-01-12</t>
  </si>
  <si>
    <t>P246</t>
  </si>
  <si>
    <t>2024-10-11</t>
  </si>
  <si>
    <t>P247</t>
  </si>
  <si>
    <t>2024-08-27</t>
  </si>
  <si>
    <t>#FutureOfDriving,#EVRevolution,#BetterWithTesla</t>
  </si>
  <si>
    <t>P248</t>
  </si>
  <si>
    <t>P249</t>
  </si>
  <si>
    <t>P250</t>
  </si>
  <si>
    <t>P251</t>
  </si>
  <si>
    <t>2025-03-27</t>
  </si>
  <si>
    <t>P252</t>
  </si>
  <si>
    <t>P253</t>
  </si>
  <si>
    <t>2024-08-03</t>
  </si>
  <si>
    <t>P254</t>
  </si>
  <si>
    <t>2025-01-14</t>
  </si>
  <si>
    <t>P255</t>
  </si>
  <si>
    <t>P256</t>
  </si>
  <si>
    <t>P257</t>
  </si>
  <si>
    <t>#EVRevolution,#EVRevolution,#BetterWithTesla</t>
  </si>
  <si>
    <t>P258</t>
  </si>
  <si>
    <t>2024-08-05</t>
  </si>
  <si>
    <t>P259</t>
  </si>
  <si>
    <t>P260</t>
  </si>
  <si>
    <t>2025-02-12</t>
  </si>
  <si>
    <t>#TeslaCoInnovation,#EVRevolution,#BetterWithTesla</t>
  </si>
  <si>
    <t>P261</t>
  </si>
  <si>
    <t>2024-10-27</t>
  </si>
  <si>
    <t>P262</t>
  </si>
  <si>
    <t>P263</t>
  </si>
  <si>
    <t>2024-08-20</t>
  </si>
  <si>
    <t>P264</t>
  </si>
  <si>
    <t>2025-01-30</t>
  </si>
  <si>
    <t>P265</t>
  </si>
  <si>
    <t>2025-02-20</t>
  </si>
  <si>
    <t>P266</t>
  </si>
  <si>
    <t>P267</t>
  </si>
  <si>
    <t>P268</t>
  </si>
  <si>
    <t>2025-04-13</t>
  </si>
  <si>
    <t>P269</t>
  </si>
  <si>
    <t>2024-11-05</t>
  </si>
  <si>
    <t>P270</t>
  </si>
  <si>
    <t>P271</t>
  </si>
  <si>
    <t>2024-10-17</t>
  </si>
  <si>
    <t>P272</t>
  </si>
  <si>
    <t>P273</t>
  </si>
  <si>
    <t>2024-10-12</t>
  </si>
  <si>
    <t>P274</t>
  </si>
  <si>
    <t>P275</t>
  </si>
  <si>
    <t>P276</t>
  </si>
  <si>
    <t>2024-06-07</t>
  </si>
  <si>
    <t>P277</t>
  </si>
  <si>
    <t>P278</t>
  </si>
  <si>
    <t>2024-11-26</t>
  </si>
  <si>
    <t>P279</t>
  </si>
  <si>
    <t>P280</t>
  </si>
  <si>
    <t>P281</t>
  </si>
  <si>
    <t>2025-03-22</t>
  </si>
  <si>
    <t>P282</t>
  </si>
  <si>
    <t>2024-10-03</t>
  </si>
  <si>
    <t>P283</t>
  </si>
  <si>
    <t>2025-05-09</t>
  </si>
  <si>
    <t>P284</t>
  </si>
  <si>
    <t>P285</t>
  </si>
  <si>
    <t>P286</t>
  </si>
  <si>
    <t>2024-09-25</t>
  </si>
  <si>
    <t>P287</t>
  </si>
  <si>
    <t>P288</t>
  </si>
  <si>
    <t>2025-04-17</t>
  </si>
  <si>
    <t>P289</t>
  </si>
  <si>
    <t>P290</t>
  </si>
  <si>
    <t>2024-12-20</t>
  </si>
  <si>
    <t>P291</t>
  </si>
  <si>
    <t>P292</t>
  </si>
  <si>
    <t>2024-11-17</t>
  </si>
  <si>
    <t>P293</t>
  </si>
  <si>
    <t>2025-05-14</t>
  </si>
  <si>
    <t>P294</t>
  </si>
  <si>
    <t>2024-06-19</t>
  </si>
  <si>
    <t>P295</t>
  </si>
  <si>
    <t>P296</t>
  </si>
  <si>
    <t>2025-02-11</t>
  </si>
  <si>
    <t>P297</t>
  </si>
  <si>
    <t>2024-12-24</t>
  </si>
  <si>
    <t>P298</t>
  </si>
  <si>
    <t>P299</t>
  </si>
  <si>
    <t>P300</t>
  </si>
  <si>
    <t>Week_Start_Date</t>
  </si>
  <si>
    <t>New_Followers</t>
  </si>
  <si>
    <t>Unfollows</t>
  </si>
  <si>
    <t>Total_Followers</t>
  </si>
  <si>
    <t>Engagement_Rate</t>
  </si>
  <si>
    <t>Ad_Spend</t>
  </si>
  <si>
    <t>2024-07-08</t>
  </si>
  <si>
    <t>2024-07-22</t>
  </si>
  <si>
    <t>2024-09-16</t>
  </si>
  <si>
    <t>2024-09-23</t>
  </si>
  <si>
    <t>2024-09-30</t>
  </si>
  <si>
    <t>2024-10-07</t>
  </si>
  <si>
    <t>2024-10-14</t>
  </si>
  <si>
    <t>2024-11-11</t>
  </si>
  <si>
    <t>2024-12-02</t>
  </si>
  <si>
    <t>2024-12-30</t>
  </si>
  <si>
    <t>2025-01-13</t>
  </si>
  <si>
    <t>2025-01-20</t>
  </si>
  <si>
    <t>2025-02-03</t>
  </si>
  <si>
    <t>2025-03-10</t>
  </si>
  <si>
    <t>2025-03-17</t>
  </si>
  <si>
    <t>2025-03-31</t>
  </si>
  <si>
    <t>2025-04-14</t>
  </si>
  <si>
    <t>2025-04-21</t>
  </si>
  <si>
    <t>Start_Date</t>
  </si>
  <si>
    <t>End_Date</t>
  </si>
  <si>
    <t>Objective</t>
  </si>
  <si>
    <t>Total_Budget</t>
  </si>
  <si>
    <t>Target_Platforms</t>
  </si>
  <si>
    <t>Primary_Hashtags</t>
  </si>
  <si>
    <t>2024-06-15</t>
  </si>
  <si>
    <t>Product Awareness</t>
  </si>
  <si>
    <t>Instagram,Facebook</t>
  </si>
  <si>
    <t>2024-10-01</t>
  </si>
  <si>
    <t>Customer Engagement</t>
  </si>
  <si>
    <t>Instagram,YouTube</t>
  </si>
  <si>
    <t>#AnytimeIsTeslaTime,</t>
  </si>
  <si>
    <t>2024-12-25</t>
  </si>
  <si>
    <t>Vehicle Launch</t>
  </si>
  <si>
    <t>Facebook,Twitter</t>
  </si>
  <si>
    <t>#SmoothLikeNitroTesla</t>
  </si>
  <si>
    <t>2025-03-01</t>
  </si>
  <si>
    <t>Community Growth</t>
  </si>
  <si>
    <t>Instagram,Twitter</t>
  </si>
  <si>
    <t>#BetterWithTesla,#FutureOfDriving</t>
  </si>
  <si>
    <t>Row Labels</t>
  </si>
  <si>
    <t>Grand Total</t>
  </si>
  <si>
    <t>Sum of Likes</t>
  </si>
  <si>
    <t>Sum of Shares</t>
  </si>
  <si>
    <t>Sum of Comments</t>
  </si>
  <si>
    <t>Sum of Engagement_Rate</t>
  </si>
  <si>
    <t>Growth Rate</t>
  </si>
  <si>
    <t>Sum of Growth Rate</t>
  </si>
  <si>
    <t>Sum of Ad_Spend</t>
  </si>
  <si>
    <t>Average of Engagement_Rate</t>
  </si>
  <si>
    <t>Engagement</t>
  </si>
  <si>
    <t>Sum of Engagement</t>
  </si>
  <si>
    <t>Group1</t>
  </si>
  <si>
    <t>Net Growth</t>
  </si>
  <si>
    <t>Correlation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</si>
</sst>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₹&quot;* #,##0.00_);_(&quot;₹&quot;* \(#,##0.00\);_(&quot;₹&quot;* &quot;-&quot;??_);_(@_)"/>
    <numFmt numFmtId="165" formatCode="0.000"/>
    <numFmt numFmtId="166" formatCode="_([$$-409]* #,##0.00_);_([$$-409]* \(#,##0.00\);_([$$-409]* &quot;-&quot;??_);_(@_)"/>
  </numFmts>
  <fonts count="5" x14ac:knownFonts="1">
    <font>
      <sz val="11"/>
      <color theme="1"/>
      <name val="Calibri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1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horizontal="center"/>
    </xf>
    <xf numFmtId="2" fontId="0" fillId="0" borderId="0" xfId="0" applyNumberFormat="1"/>
    <xf numFmtId="0" fontId="1" fillId="2" borderId="1" xfId="0" applyFont="1" applyFill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65" fontId="0" fillId="0" borderId="0" xfId="2" applyNumberFormat="1" applyFont="1"/>
    <xf numFmtId="0" fontId="3" fillId="0" borderId="0" xfId="0" applyFont="1" applyAlignment="1">
      <alignment horizontal="center" vertical="top"/>
    </xf>
    <xf numFmtId="166" fontId="0" fillId="0" borderId="0" xfId="1" applyNumberFormat="1" applyFont="1"/>
    <xf numFmtId="0" fontId="1" fillId="0" borderId="2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3" borderId="2" xfId="0" applyFont="1" applyFill="1" applyBorder="1" applyAlignment="1">
      <alignment horizontal="center" vertical="top"/>
    </xf>
    <xf numFmtId="1" fontId="0" fillId="0" borderId="0" xfId="2" applyNumberFormat="1" applyFont="1"/>
    <xf numFmtId="0" fontId="4" fillId="2" borderId="1" xfId="0" applyFont="1" applyFill="1" applyBorder="1" applyAlignment="1">
      <alignment horizontal="center" vertical="top"/>
    </xf>
    <xf numFmtId="0" fontId="4" fillId="3" borderId="2" xfId="0" applyFont="1" applyFill="1" applyBorder="1" applyAlignment="1">
      <alignment horizontal="center" vertical="top"/>
    </xf>
    <xf numFmtId="165" fontId="2" fillId="0" borderId="0" xfId="0" applyNumberFormat="1" applyFont="1" applyAlignment="1">
      <alignment horizontal="center"/>
    </xf>
    <xf numFmtId="165" fontId="2" fillId="0" borderId="0" xfId="1" applyNumberFormat="1" applyFont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numFmt numFmtId="165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Total Ad Spend vs Total Engagement Rate</a:t>
            </a:r>
          </a:p>
        </c:rich>
      </c:tx>
      <c:layout>
        <c:manualLayout>
          <c:xMode val="edge"/>
          <c:yMode val="edge"/>
          <c:x val="0.12990266841644793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'Task 3'!$K$20</c:f>
              <c:strCache>
                <c:ptCount val="1"/>
                <c:pt idx="0">
                  <c:v>Sum of Ad_Spend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'Task 3'!$J$21:$J$24</c:f>
              <c:strCache>
                <c:ptCount val="4"/>
                <c:pt idx="0">
                  <c:v>Facebook</c:v>
                </c:pt>
                <c:pt idx="1">
                  <c:v>Instagram</c:v>
                </c:pt>
                <c:pt idx="2">
                  <c:v>Twitter</c:v>
                </c:pt>
                <c:pt idx="3">
                  <c:v>YouTube</c:v>
                </c:pt>
              </c:strCache>
            </c:strRef>
          </c:cat>
          <c:val>
            <c:numRef>
              <c:f>'Task 3'!$K$21:$K$24</c:f>
              <c:numCache>
                <c:formatCode>_([$$-409]* #,##0.00_);_([$$-409]* \(#,##0.00\);_([$$-409]* "-"??_);_(@_)</c:formatCode>
                <c:ptCount val="4"/>
                <c:pt idx="0">
                  <c:v>1379539</c:v>
                </c:pt>
                <c:pt idx="1">
                  <c:v>1164373</c:v>
                </c:pt>
                <c:pt idx="2">
                  <c:v>1060357</c:v>
                </c:pt>
                <c:pt idx="3">
                  <c:v>1228647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A3-A449-8316-89DE6E5F3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421312"/>
        <c:axId val="115498320"/>
      </c:barChart>
      <c:lineChart>
        <c:grouping val="standard"/>
        <c:varyColors val="0"/>
        <c:ser>
          <c:idx val="1"/>
          <c:order val="1"/>
          <c:tx>
            <c:strRef>
              <c:f>'Task 3'!$L$20</c:f>
              <c:strCache>
                <c:ptCount val="1"/>
                <c:pt idx="0">
                  <c:v>Average of Engagement_Rate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'Task 3'!$J$21:$J$24</c:f>
              <c:strCache>
                <c:ptCount val="4"/>
                <c:pt idx="0">
                  <c:v>Facebook</c:v>
                </c:pt>
                <c:pt idx="1">
                  <c:v>Instagram</c:v>
                </c:pt>
                <c:pt idx="2">
                  <c:v>Twitter</c:v>
                </c:pt>
                <c:pt idx="3">
                  <c:v>YouTube</c:v>
                </c:pt>
              </c:strCache>
            </c:strRef>
          </c:cat>
          <c:val>
            <c:numRef>
              <c:f>'Task 3'!$L$21:$L$24</c:f>
              <c:numCache>
                <c:formatCode>0.00</c:formatCode>
                <c:ptCount val="4"/>
                <c:pt idx="0">
                  <c:v>5.6486000000000001</c:v>
                </c:pt>
                <c:pt idx="1">
                  <c:v>5.7156000000000002</c:v>
                </c:pt>
                <c:pt idx="2">
                  <c:v>5.6558000000000002</c:v>
                </c:pt>
                <c:pt idx="3">
                  <c:v>5.5587999999999997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A3-A449-8316-89DE6E5F3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556144"/>
        <c:axId val="575419600"/>
      </c:lineChart>
      <c:catAx>
        <c:axId val="11342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498320"/>
        <c:crosses val="autoZero"/>
        <c:auto val="1"/>
        <c:lblAlgn val="ctr"/>
        <c:lblOffset val="100"/>
        <c:noMultiLvlLbl val="0"/>
      </c:catAx>
      <c:valAx>
        <c:axId val="11549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[$$-409]* #,##0.00_);_([$$-409]* \(#,##0.00\);_([$$-409]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21312"/>
        <c:crosses val="autoZero"/>
        <c:crossBetween val="between"/>
      </c:valAx>
      <c:valAx>
        <c:axId val="575419600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556144"/>
        <c:crosses val="max"/>
        <c:crossBetween val="between"/>
      </c:valAx>
      <c:catAx>
        <c:axId val="5755561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5419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1154940</xdr:colOff>
      <xdr:row>18</xdr:row>
      <xdr:rowOff>32565</xdr:rowOff>
    </xdr:from>
    <xdr:to>
      <xdr:col>14</xdr:col>
      <xdr:colOff>6513</xdr:colOff>
      <xdr:row>32</xdr:row>
      <xdr:rowOff>40380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EB4020-24CE-9C41-A246-AD685E9AAC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429846</xdr:colOff>
      <xdr:row>2</xdr:row>
      <xdr:rowOff>58615</xdr:rowOff>
    </xdr:from>
    <xdr:to>
      <xdr:col>19</xdr:col>
      <xdr:colOff>364718</xdr:colOff>
      <xdr:row>13</xdr:row>
      <xdr:rowOff>39077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ECE27D3-4D27-AB70-F94A-B72028C6BB4C}"/>
            </a:ext>
          </a:extLst>
        </xdr:cNvPr>
        <xdr:cNvSpPr txBox="1"/>
      </xdr:nvSpPr>
      <xdr:spPr>
        <a:xfrm>
          <a:off x="13605282" y="423333"/>
          <a:ext cx="7144564" cy="19864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b="1"/>
            <a:t>Platform Analysis Steps:-</a:t>
          </a:r>
        </a:p>
        <a:p>
          <a:r>
            <a:rPr lang="en-IN" b="1"/>
            <a:t>Engagement:</a:t>
          </a:r>
          <a:r>
            <a:rPr lang="en-IN"/>
            <a:t> Instagram is the most efficient platform for Tesla, balancing high engagement rates with strong follower growth. It effectively utilizes visual content (Reels/Stories) which aligns with Tesla's product appeal.</a:t>
          </a:r>
        </a:p>
        <a:p>
          <a:r>
            <a:rPr lang="en-IN" b="1"/>
            <a:t>Follower Growth:</a:t>
          </a:r>
          <a:endParaRPr lang="en-IN"/>
        </a:p>
        <a:p>
          <a:r>
            <a:rPr lang="en-IN" b="1"/>
            <a:t>Twitter:</a:t>
          </a:r>
          <a:r>
            <a:rPr lang="en-IN"/>
            <a:t> Shows volatile growth, likely tied to major announcements.</a:t>
          </a:r>
        </a:p>
        <a:p>
          <a:r>
            <a:rPr lang="en-IN" b="1"/>
            <a:t>Facebook:</a:t>
          </a:r>
          <a:r>
            <a:rPr lang="en-IN"/>
            <a:t> Steady but slower growth compared to Instagram.</a:t>
          </a:r>
        </a:p>
        <a:p>
          <a:r>
            <a:rPr lang="en-IN" b="1"/>
            <a:t>YouTube:</a:t>
          </a:r>
          <a:r>
            <a:rPr lang="en-IN"/>
            <a:t> Growth spikes correlate heavily with new video drops (e.g., product demos).</a:t>
          </a:r>
        </a:p>
        <a:p>
          <a:r>
            <a:rPr lang="en-IN" b="1"/>
            <a:t>Strategic Advice:</a:t>
          </a:r>
          <a:endParaRPr lang="en-IN"/>
        </a:p>
        <a:p>
          <a:r>
            <a:rPr lang="en-IN" b="1"/>
            <a:t>~ Double down on YouTube</a:t>
          </a:r>
          <a:r>
            <a:rPr lang="en-IN"/>
            <a:t> for visual storytelling.</a:t>
          </a:r>
        </a:p>
        <a:p>
          <a:r>
            <a:rPr lang="en-IN" b="1"/>
            <a:t>~</a:t>
          </a:r>
          <a:r>
            <a:rPr lang="en-IN" b="1" baseline="0"/>
            <a:t> </a:t>
          </a:r>
          <a:r>
            <a:rPr lang="en-IN"/>
            <a:t>Use </a:t>
          </a:r>
          <a:r>
            <a:rPr lang="en-IN" b="1"/>
            <a:t>Twitter primarily for real-time news/community management</a:t>
          </a:r>
          <a:r>
            <a:rPr lang="en-IN"/>
            <a:t> rather than visual showcases.</a:t>
          </a:r>
          <a:br>
            <a:rPr lang="en-IN"/>
          </a:br>
          <a:r>
            <a:rPr lang="en-IN" b="1"/>
            <a:t>~ </a:t>
          </a:r>
          <a:r>
            <a:rPr lang="en-IN"/>
            <a:t>Facebook serves as a "maintenance" channel; it has good engagement but high reach for older demographics.</a:t>
          </a:r>
        </a:p>
        <a:p>
          <a:endParaRPr lang="en-IN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975.946252546295" createdVersion="8" refreshedVersion="8" minRefreshableVersion="3" recordCount="200" xr:uid="{DD826EC1-5FFE-F748-98C5-C72186A3A6A8}">
  <cacheSource type="worksheet">
    <worksheetSource ref="A1:G201" sheet="Engagement Summary"/>
  </cacheSource>
  <cacheFields count="7">
    <cacheField name="Week_Start_Date" numFmtId="0">
      <sharedItems/>
    </cacheField>
    <cacheField name="Platform" numFmtId="0">
      <sharedItems count="4">
        <s v="Instagram"/>
        <s v="Facebook"/>
        <s v="Twitter"/>
        <s v="YouTube"/>
      </sharedItems>
    </cacheField>
    <cacheField name="New_Followers" numFmtId="0">
      <sharedItems containsSemiMixedTypes="0" containsString="0" containsNumber="1" containsInteger="1" minValue="115" maxValue="1980"/>
    </cacheField>
    <cacheField name="Unfollows" numFmtId="0">
      <sharedItems containsSemiMixedTypes="0" containsString="0" containsNumber="1" containsInteger="1" minValue="20" maxValue="498"/>
    </cacheField>
    <cacheField name="Total_Followers" numFmtId="0">
      <sharedItems containsSemiMixedTypes="0" containsString="0" containsNumber="1" containsInteger="1" minValue="11435" maxValue="496982"/>
    </cacheField>
    <cacheField name="Engagement_Rate" numFmtId="0">
      <sharedItems containsSemiMixedTypes="0" containsString="0" containsNumber="1" minValue="1.53" maxValue="9.48" count="172">
        <n v="8.06"/>
        <n v="4.9800000000000004"/>
        <n v="8.31"/>
        <n v="4.1100000000000003"/>
        <n v="9.0500000000000007"/>
        <n v="2.37"/>
        <n v="4.01"/>
        <n v="3.16"/>
        <n v="2.46"/>
        <n v="8.11"/>
        <n v="8.19"/>
        <n v="3.49"/>
        <n v="6.92"/>
        <n v="9.1199999999999992"/>
        <n v="3.5"/>
        <n v="2.62"/>
        <n v="9.36"/>
        <n v="4.4800000000000004"/>
        <n v="6.19"/>
        <n v="8.7200000000000006"/>
        <n v="8.74"/>
        <n v="1.91"/>
        <n v="4.66"/>
        <n v="2.88"/>
        <n v="3.74"/>
        <n v="6.44"/>
        <n v="8.56"/>
        <n v="4.5599999999999996"/>
        <n v="7.88"/>
        <n v="7.86"/>
        <n v="5.34"/>
        <n v="5.52"/>
        <n v="4.05"/>
        <n v="7.73"/>
        <n v="4.3600000000000003"/>
        <n v="3.48"/>
        <n v="7.83"/>
        <n v="6.11"/>
        <n v="9.43"/>
        <n v="4.04"/>
        <n v="6.23"/>
        <n v="6.01"/>
        <n v="8.5500000000000007"/>
        <n v="5.42"/>
        <n v="3.25"/>
        <n v="8.84"/>
        <n v="7.24"/>
        <n v="5.71"/>
        <n v="9.0399999999999991"/>
        <n v="3.91"/>
        <n v="7.16"/>
        <n v="6.41"/>
        <n v="8.02"/>
        <n v="3.86"/>
        <n v="9.09"/>
        <n v="1.76"/>
        <n v="9.24"/>
        <n v="8.99"/>
        <n v="3.4"/>
        <n v="9.1999999999999993"/>
        <n v="8.59"/>
        <n v="2.36"/>
        <n v="7.36"/>
        <n v="8.1300000000000008"/>
        <n v="3.3"/>
        <n v="1.77"/>
        <n v="2.09"/>
        <n v="6.25"/>
        <n v="1.75"/>
        <n v="4.97"/>
        <n v="9.3000000000000007"/>
        <n v="8.9"/>
        <n v="3.88"/>
        <n v="5.9"/>
        <n v="1.53"/>
        <n v="6.5"/>
        <n v="8.25"/>
        <n v="5.41"/>
        <n v="5.85"/>
        <n v="4.46"/>
        <n v="5.22"/>
        <n v="1.99"/>
        <n v="6.85"/>
        <n v="3.32"/>
        <n v="5.68"/>
        <n v="6.08"/>
        <n v="8.6999999999999993"/>
        <n v="7.97"/>
        <n v="9.41"/>
        <n v="2.68"/>
        <n v="7.32"/>
        <n v="4.68"/>
        <n v="5.17"/>
        <n v="6.2"/>
        <n v="2.69"/>
        <n v="3.79"/>
        <n v="4.79"/>
        <n v="6.37"/>
        <n v="2.65"/>
        <n v="1.81"/>
        <n v="7.47"/>
        <n v="4.2"/>
        <n v="5.43"/>
        <n v="6.66"/>
        <n v="8.09"/>
        <n v="8.44"/>
        <n v="2.02"/>
        <n v="7.74"/>
        <n v="2.89"/>
        <n v="3.09"/>
        <n v="5.3"/>
        <n v="8.1999999999999993"/>
        <n v="2.2200000000000002"/>
        <n v="8.33"/>
        <n v="5.61"/>
        <n v="2.56"/>
        <n v="3.29"/>
        <n v="4.51"/>
        <n v="5.23"/>
        <n v="9.23"/>
        <n v="2.0099999999999998"/>
        <n v="3.72"/>
        <n v="3.89"/>
        <n v="6.95"/>
        <n v="9.48"/>
        <n v="4.6100000000000003"/>
        <n v="8.0299999999999994"/>
        <n v="6.99"/>
        <n v="9.0299999999999994"/>
        <n v="2.86"/>
        <n v="3.85"/>
        <n v="7.3"/>
        <n v="9.08"/>
        <n v="4.34"/>
        <n v="7.8"/>
        <n v="6.58"/>
        <n v="8.6199999999999992"/>
        <n v="4.55"/>
        <n v="9.4"/>
        <n v="7.23"/>
        <n v="9.39"/>
        <n v="5.12"/>
        <n v="4.9400000000000004"/>
        <n v="1.8"/>
        <n v="8.64"/>
        <n v="8.52"/>
        <n v="5.53"/>
        <n v="1.87"/>
        <n v="6.27"/>
        <n v="9.4600000000000009"/>
        <n v="7.5"/>
        <n v="4.7300000000000004"/>
        <n v="3.19"/>
        <n v="2.4900000000000002"/>
        <n v="4.5"/>
        <n v="6.49"/>
        <n v="6.73"/>
        <n v="4.83"/>
        <n v="6.54"/>
        <n v="6.8"/>
        <n v="2.6"/>
        <n v="2.44"/>
        <n v="5.69"/>
        <n v="1.6"/>
        <n v="6.09"/>
        <n v="5.59"/>
        <n v="3.55"/>
        <n v="5.21"/>
        <n v="1.82"/>
        <n v="4"/>
        <n v="7.57"/>
        <n v="6.81"/>
      </sharedItems>
    </cacheField>
    <cacheField name="Ad_Spend" numFmtId="0">
      <sharedItems containsSemiMixedTypes="0" containsString="0" containsNumber="1" containsInteger="1" minValue="1083" maxValue="497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975.964313078701" createdVersion="8" refreshedVersion="8" minRefreshableVersion="3" recordCount="200" xr:uid="{5F8182E9-526A-E04E-9E31-C9FA643A118D}">
  <cacheSource type="worksheet">
    <worksheetSource ref="A1:H201" sheet="Engagement Summary"/>
  </cacheSource>
  <cacheFields count="8">
    <cacheField name="Week_Start_Date" numFmtId="0">
      <sharedItems/>
    </cacheField>
    <cacheField name="Platform" numFmtId="0">
      <sharedItems count="4">
        <s v="Instagram"/>
        <s v="Facebook"/>
        <s v="Twitter"/>
        <s v="YouTube"/>
      </sharedItems>
    </cacheField>
    <cacheField name="New_Followers" numFmtId="0">
      <sharedItems containsSemiMixedTypes="0" containsString="0" containsNumber="1" containsInteger="1" minValue="115" maxValue="1980"/>
    </cacheField>
    <cacheField name="Unfollows" numFmtId="0">
      <sharedItems containsSemiMixedTypes="0" containsString="0" containsNumber="1" containsInteger="1" minValue="20" maxValue="498"/>
    </cacheField>
    <cacheField name="Total_Followers" numFmtId="0">
      <sharedItems containsSemiMixedTypes="0" containsString="0" containsNumber="1" containsInteger="1" minValue="11435" maxValue="496982"/>
    </cacheField>
    <cacheField name="Engagement_Rate" numFmtId="0">
      <sharedItems containsSemiMixedTypes="0" containsString="0" containsNumber="1" minValue="1.53" maxValue="9.48"/>
    </cacheField>
    <cacheField name="Ad_Spend" numFmtId="0">
      <sharedItems containsSemiMixedTypes="0" containsString="0" containsNumber="1" containsInteger="1" minValue="1083" maxValue="49772"/>
    </cacheField>
    <cacheField name="Growth Rate" numFmtId="165">
      <sharedItems containsSemiMixedTypes="0" containsString="0" containsNumber="1" minValue="-1" maxValue="24.4275604142692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976.935912962967" createdVersion="8" refreshedVersion="8" minRefreshableVersion="3" recordCount="300" xr:uid="{2212EE60-D9F3-C647-8B18-05E9794CBD8F}">
  <cacheSource type="worksheet">
    <worksheetSource ref="A1:N301" sheet="Posts"/>
  </cacheSource>
  <cacheFields count="15">
    <cacheField name="Post ID" numFmtId="0">
      <sharedItems/>
    </cacheField>
    <cacheField name="Platform" numFmtId="0">
      <sharedItems/>
    </cacheField>
    <cacheField name="Date" numFmtId="0">
      <sharedItems count="198">
        <s v="2024-12-23"/>
        <s v="2024-06-26"/>
        <s v="2024-11-18"/>
        <s v="2024-10-24"/>
        <s v="2024-08-19"/>
        <s v="2024-09-09"/>
        <s v="2024-07-31"/>
        <s v="2024-08-21"/>
        <s v="2024-11-01"/>
        <s v="2024-10-21"/>
        <s v="2024-09-05"/>
        <s v="2024-07-26"/>
        <s v="2025-04-19"/>
        <s v="2024-06-14"/>
        <s v="2024-10-02"/>
        <s v="2024-11-14"/>
        <s v="2025-04-06"/>
        <s v="2025-04-24"/>
        <s v="2024-10-29"/>
        <s v="2024-06-16"/>
        <s v="2024-08-11"/>
        <s v="2025-02-16"/>
        <s v="2024-11-12"/>
        <s v="2024-12-03"/>
        <s v="2024-06-20"/>
        <s v="2024-07-28"/>
        <s v="2025-03-24"/>
        <s v="2024-10-22"/>
        <s v="2025-01-15"/>
        <s v="2024-11-21"/>
        <s v="2024-06-24"/>
        <s v="2025-02-19"/>
        <s v="2024-10-08"/>
        <s v="2024-07-01"/>
        <s v="2025-05-01"/>
        <s v="2025-01-12"/>
        <s v="2025-02-10"/>
        <s v="2024-10-27"/>
        <s v="2025-04-13"/>
        <s v="2024-08-15"/>
        <s v="2025-05-14"/>
        <s v="2024-08-31"/>
        <s v="2025-05-12"/>
        <s v="2024-07-21"/>
        <s v="2024-08-26"/>
        <s v="2025-01-23"/>
        <s v="2025-01-31"/>
        <s v="2025-03-26"/>
        <s v="2024-12-14"/>
        <s v="2024-07-03"/>
        <s v="2024-12-18"/>
        <s v="2025-01-28"/>
        <s v="2024-11-22"/>
        <s v="2024-08-17"/>
        <s v="2025-03-29"/>
        <s v="2025-03-08"/>
        <s v="2024-10-28"/>
        <s v="2024-10-19"/>
        <s v="2024-07-24"/>
        <s v="2024-06-06"/>
        <s v="2024-12-11"/>
        <s v="2024-11-07"/>
        <s v="2024-07-02"/>
        <s v="2024-10-18"/>
        <s v="2025-03-23"/>
        <s v="2024-08-08"/>
        <s v="2024-10-05"/>
        <s v="2024-11-04"/>
        <s v="2025-01-27"/>
        <s v="2025-01-01"/>
        <s v="2025-04-28"/>
        <s v="2024-08-14"/>
        <s v="2024-12-05"/>
        <s v="2024-07-10"/>
        <s v="2025-03-21"/>
        <s v="2024-08-24"/>
        <s v="2024-12-22"/>
        <s v="2024-09-11"/>
        <s v="2024-12-19"/>
        <s v="2024-09-14"/>
        <s v="2024-06-02"/>
        <s v="2024-12-29"/>
        <s v="2025-05-13"/>
        <s v="2024-06-12"/>
        <s v="2024-07-15"/>
        <s v="2024-07-07"/>
        <s v="2024-10-25"/>
        <s v="2025-02-12"/>
        <s v="2024-11-25"/>
        <s v="2025-03-27"/>
        <s v="2024-08-05"/>
        <s v="2024-10-03"/>
        <s v="2024-09-25"/>
        <s v="2025-04-17"/>
        <s v="2024-06-19"/>
        <s v="2025-04-03"/>
        <s v="2024-10-31"/>
        <s v="2024-08-30"/>
        <s v="2025-03-11"/>
        <s v="2024-11-06"/>
        <s v="2025-04-05"/>
        <s v="2024-12-16"/>
        <s v="2024-11-30"/>
        <s v="2025-01-06"/>
        <s v="2024-06-13"/>
        <s v="2025-03-13"/>
        <s v="2024-09-02"/>
        <s v="2025-03-03"/>
        <s v="2024-10-09"/>
        <s v="2024-08-13"/>
        <s v="2024-09-18"/>
        <s v="2024-06-11"/>
        <s v="2025-03-25"/>
        <s v="2024-07-29"/>
        <s v="2024-11-23"/>
        <s v="2025-03-04"/>
        <s v="2024-12-21"/>
        <s v="2024-07-23"/>
        <s v="2025-04-08"/>
        <s v="2024-12-31"/>
        <s v="2024-12-17"/>
        <s v="2025-04-07"/>
        <s v="2025-05-06"/>
        <s v="2024-10-11"/>
        <s v="2024-07-18"/>
        <s v="2025-01-14"/>
        <s v="2024-08-20"/>
        <s v="2025-01-30"/>
        <s v="2024-11-05"/>
        <s v="2024-10-17"/>
        <s v="2024-06-07"/>
        <s v="2025-03-22"/>
        <s v="2025-05-09"/>
        <s v="2024-08-12"/>
        <s v="2024-07-13"/>
        <s v="2025-02-02"/>
        <s v="2025-05-05"/>
        <s v="2024-06-23"/>
        <s v="2025-01-04"/>
        <s v="2025-02-27"/>
        <s v="2024-09-17"/>
        <s v="2025-02-17"/>
        <s v="2025-03-07"/>
        <s v="2025-05-02"/>
        <s v="2024-06-10"/>
        <s v="2025-01-03"/>
        <s v="2024-06-17"/>
        <s v="2025-04-15"/>
        <s v="2024-08-01"/>
        <s v="2024-12-09"/>
        <s v="2024-06-03"/>
        <s v="2024-11-08"/>
        <s v="2025-02-04"/>
        <s v="2025-05-11"/>
        <s v="2024-09-08"/>
        <s v="2024-09-29"/>
        <s v="2025-02-06"/>
        <s v="2024-11-28"/>
        <s v="2024-07-11"/>
        <s v="2024-08-22"/>
        <s v="2025-04-22"/>
        <s v="2025-01-17"/>
        <s v="2025-03-19"/>
        <s v="2025-04-29"/>
        <s v="2024-07-16"/>
        <s v="2025-01-18"/>
        <s v="2025-03-06"/>
        <s v="2025-02-20"/>
        <s v="2024-10-12"/>
        <s v="2024-11-26"/>
        <s v="2024-12-20"/>
        <s v="2025-02-11"/>
        <s v="2024-12-24"/>
        <s v="2025-04-10"/>
        <s v="2025-02-25"/>
        <s v="2025-03-05"/>
        <s v="2025-03-02"/>
        <s v="2025-02-24"/>
        <s v="2024-06-22"/>
        <s v="2025-03-28"/>
        <s v="2024-12-08"/>
        <s v="2025-04-02"/>
        <s v="2024-10-15"/>
        <s v="2025-01-10"/>
        <s v="2024-09-10"/>
        <s v="2024-06-21"/>
        <s v="2025-03-18"/>
        <s v="2025-02-07"/>
        <s v="2024-06-05"/>
        <s v="2025-04-01"/>
        <s v="2025-01-11"/>
        <s v="2024-10-04"/>
        <s v="2024-11-29"/>
        <s v="2024-08-07"/>
        <s v="2024-06-01"/>
        <s v="2024-08-27"/>
        <s v="2024-08-03"/>
        <s v="2024-11-17"/>
      </sharedItems>
      <fieldGroup par="14"/>
    </cacheField>
    <cacheField name="Content Type" numFmtId="0">
      <sharedItems/>
    </cacheField>
    <cacheField name="Post Text" numFmtId="0">
      <sharedItems/>
    </cacheField>
    <cacheField name="Likes" numFmtId="0">
      <sharedItems containsSemiMixedTypes="0" containsString="0" containsNumber="1" containsInteger="1" minValue="53" maxValue="4941" count="293">
        <n v="1461"/>
        <n v="3557"/>
        <n v="1171"/>
        <n v="3888"/>
        <n v="3000"/>
        <n v="4054"/>
        <n v="2278"/>
        <n v="1407"/>
        <n v="3371"/>
        <n v="2825"/>
        <n v="4886"/>
        <n v="432"/>
        <n v="4177"/>
        <n v="498"/>
        <n v="4419"/>
        <n v="4000"/>
        <n v="4363"/>
        <n v="736"/>
        <n v="3731"/>
        <n v="2746"/>
        <n v="1702"/>
        <n v="3559"/>
        <n v="1762"/>
        <n v="1076"/>
        <n v="2418"/>
        <n v="3809"/>
        <n v="3798"/>
        <n v="3711"/>
        <n v="3215"/>
        <n v="3360"/>
        <n v="4350"/>
        <n v="4782"/>
        <n v="802"/>
        <n v="3773"/>
        <n v="941"/>
        <n v="257"/>
        <n v="1814"/>
        <n v="4808"/>
        <n v="1430"/>
        <n v="3770"/>
        <n v="4134"/>
        <n v="562"/>
        <n v="4853"/>
        <n v="4579"/>
        <n v="4236"/>
        <n v="1164"/>
        <n v="2634"/>
        <n v="4494"/>
        <n v="2795"/>
        <n v="1946"/>
        <n v="3452"/>
        <n v="3961"/>
        <n v="2566"/>
        <n v="1652"/>
        <n v="2174"/>
        <n v="2754"/>
        <n v="2946"/>
        <n v="904"/>
        <n v="53"/>
        <n v="4507"/>
        <n v="2878"/>
        <n v="4712"/>
        <n v="1292"/>
        <n v="1855"/>
        <n v="1816"/>
        <n v="725"/>
        <n v="1436"/>
        <n v="3801"/>
        <n v="1431"/>
        <n v="2647"/>
        <n v="4171"/>
        <n v="4450"/>
        <n v="3655"/>
        <n v="3649"/>
        <n v="1957"/>
        <n v="4551"/>
        <n v="780"/>
        <n v="4840"/>
        <n v="305"/>
        <n v="80"/>
        <n v="754"/>
        <n v="3577"/>
        <n v="3073"/>
        <n v="1330"/>
        <n v="3099"/>
        <n v="606"/>
        <n v="4292"/>
        <n v="1644"/>
        <n v="4285"/>
        <n v="4858"/>
        <n v="1813"/>
        <n v="1048"/>
        <n v="1871"/>
        <n v="2234"/>
        <n v="4274"/>
        <n v="602"/>
        <n v="246"/>
        <n v="3663"/>
        <n v="3196"/>
        <n v="929"/>
        <n v="4767"/>
        <n v="4661"/>
        <n v="2089"/>
        <n v="4332"/>
        <n v="4182"/>
        <n v="3774"/>
        <n v="4941"/>
        <n v="1741"/>
        <n v="1488"/>
        <n v="3389"/>
        <n v="4780"/>
        <n v="4731"/>
        <n v="4303"/>
        <n v="2581"/>
        <n v="2945"/>
        <n v="3860"/>
        <n v="3784"/>
        <n v="4241"/>
        <n v="1606"/>
        <n v="3009"/>
        <n v="438"/>
        <n v="3775"/>
        <n v="4518"/>
        <n v="3024"/>
        <n v="2200"/>
        <n v="1686"/>
        <n v="2551"/>
        <n v="296"/>
        <n v="3068"/>
        <n v="4739"/>
        <n v="1000"/>
        <n v="3689"/>
        <n v="4050"/>
        <n v="3523"/>
        <n v="2719"/>
        <n v="3432"/>
        <n v="1947"/>
        <n v="2291"/>
        <n v="3256"/>
        <n v="2283"/>
        <n v="3352"/>
        <n v="4775"/>
        <n v="2120"/>
        <n v="4501"/>
        <n v="3239"/>
        <n v="1018"/>
        <n v="360"/>
        <n v="2728"/>
        <n v="2509"/>
        <n v="3718"/>
        <n v="2949"/>
        <n v="3874"/>
        <n v="521"/>
        <n v="4872"/>
        <n v="1509"/>
        <n v="1257"/>
        <n v="400"/>
        <n v="827"/>
        <n v="2692"/>
        <n v="2143"/>
        <n v="3090"/>
        <n v="3601"/>
        <n v="2603"/>
        <n v="59"/>
        <n v="4561"/>
        <n v="3575"/>
        <n v="1556"/>
        <n v="4905"/>
        <n v="3166"/>
        <n v="3367"/>
        <n v="1952"/>
        <n v="2404"/>
        <n v="3929"/>
        <n v="1792"/>
        <n v="4441"/>
        <n v="1071"/>
        <n v="4838"/>
        <n v="1570"/>
        <n v="2076"/>
        <n v="3138"/>
        <n v="4750"/>
        <n v="456"/>
        <n v="1108"/>
        <n v="2164"/>
        <n v="947"/>
        <n v="1226"/>
        <n v="103"/>
        <n v="4126"/>
        <n v="1674"/>
        <n v="1121"/>
        <n v="954"/>
        <n v="1841"/>
        <n v="3428"/>
        <n v="302"/>
        <n v="3861"/>
        <n v="1263"/>
        <n v="3182"/>
        <n v="1575"/>
        <n v="4619"/>
        <n v="2493"/>
        <n v="3811"/>
        <n v="2936"/>
        <n v="2072"/>
        <n v="4213"/>
        <n v="3134"/>
        <n v="2070"/>
        <n v="4929"/>
        <n v="1878"/>
        <n v="4133"/>
        <n v="4295"/>
        <n v="4804"/>
        <n v="985"/>
        <n v="4671"/>
        <n v="4934"/>
        <n v="142"/>
        <n v="129"/>
        <n v="4689"/>
        <n v="914"/>
        <n v="3820"/>
        <n v="3160"/>
        <n v="2696"/>
        <n v="1869"/>
        <n v="1188"/>
        <n v="249"/>
        <n v="2382"/>
        <n v="4725"/>
        <n v="4321"/>
        <n v="3592"/>
        <n v="3767"/>
        <n v="1877"/>
        <n v="3641"/>
        <n v="3535"/>
        <n v="4516"/>
        <n v="4275"/>
        <n v="571"/>
        <n v="2107"/>
        <n v="4663"/>
        <n v="3440"/>
        <n v="2166"/>
        <n v="4242"/>
        <n v="3128"/>
        <n v="3095"/>
        <n v="3564"/>
        <n v="1543"/>
        <n v="2358"/>
        <n v="2704"/>
        <n v="1950"/>
        <n v="804"/>
        <n v="2180"/>
        <n v="1881"/>
        <n v="2610"/>
        <n v="199"/>
        <n v="1249"/>
        <n v="2103"/>
        <n v="1094"/>
        <n v="2214"/>
        <n v="1238"/>
        <n v="1766"/>
        <n v="4832"/>
        <n v="3704"/>
        <n v="1970"/>
        <n v="4158"/>
        <n v="3092"/>
        <n v="2147"/>
        <n v="3008"/>
        <n v="3170"/>
        <n v="3065"/>
        <n v="1082"/>
        <n v="3430"/>
        <n v="4771"/>
        <n v="3828"/>
        <n v="3796"/>
        <n v="4523"/>
        <n v="1963"/>
        <n v="1176"/>
        <n v="4606"/>
        <n v="84"/>
        <n v="4453"/>
        <n v="3338"/>
        <n v="4672"/>
        <n v="4799"/>
        <n v="1272"/>
        <n v="4188"/>
        <n v="3960"/>
        <n v="886"/>
        <n v="3813"/>
        <n v="1377"/>
        <n v="3791"/>
        <n v="1206"/>
        <n v="4187"/>
        <n v="4021"/>
        <n v="2751"/>
        <n v="880"/>
      </sharedItems>
    </cacheField>
    <cacheField name="Shares" numFmtId="0">
      <sharedItems containsSemiMixedTypes="0" containsString="0" containsNumber="1" containsInteger="1" minValue="10" maxValue="983"/>
    </cacheField>
    <cacheField name="Comments" numFmtId="0">
      <sharedItems containsSemiMixedTypes="0" containsString="0" containsNumber="1" containsInteger="1" minValue="7" maxValue="500"/>
    </cacheField>
    <cacheField name="Impressions" numFmtId="0">
      <sharedItems containsSemiMixedTypes="0" containsString="0" containsNumber="1" containsInteger="1" minValue="588" maxValue="98100"/>
    </cacheField>
    <cacheField name="Reach" numFmtId="0">
      <sharedItems containsSemiMixedTypes="0" containsString="0" containsNumber="1" containsInteger="1" minValue="7" maxValue="97772"/>
    </cacheField>
    <cacheField name="Clicks" numFmtId="0">
      <sharedItems containsSemiMixedTypes="0" containsString="0" containsNumber="1" containsInteger="1" minValue="10" maxValue="300"/>
    </cacheField>
    <cacheField name="Hashtags Used" numFmtId="0">
      <sharedItems/>
    </cacheField>
    <cacheField name="Campaign_Name" numFmtId="0">
      <sharedItems containsBlank="1"/>
    </cacheField>
    <cacheField name="Engagement" numFmtId="0">
      <sharedItems containsSemiMixedTypes="0" containsString="0" containsNumber="1" containsInteger="1" minValue="315" maxValue="6278"/>
    </cacheField>
    <cacheField name="Date2" numFmtId="0" databaseField="0">
      <fieldGroup base="2">
        <discretePr count="198"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</discretePr>
        <groupItems count="1">
          <s v="Group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">
  <r>
    <s v="2024-06-03"/>
    <x v="0"/>
    <n v="1135"/>
    <n v="88"/>
    <n v="344084"/>
    <x v="0"/>
    <n v="5904"/>
  </r>
  <r>
    <s v="2024-06-03"/>
    <x v="1"/>
    <n v="1312"/>
    <n v="310"/>
    <n v="42654"/>
    <x v="1"/>
    <n v="9566"/>
  </r>
  <r>
    <s v="2024-06-03"/>
    <x v="2"/>
    <n v="584"/>
    <n v="169"/>
    <n v="146834"/>
    <x v="2"/>
    <n v="26752"/>
  </r>
  <r>
    <s v="2024-06-03"/>
    <x v="3"/>
    <n v="1535"/>
    <n v="445"/>
    <n v="395536"/>
    <x v="3"/>
    <n v="30671"/>
  </r>
  <r>
    <s v="2024-06-10"/>
    <x v="0"/>
    <n v="656"/>
    <n v="139"/>
    <n v="49157"/>
    <x v="4"/>
    <n v="9920"/>
  </r>
  <r>
    <s v="2024-06-10"/>
    <x v="1"/>
    <n v="1697"/>
    <n v="414"/>
    <n v="316555"/>
    <x v="5"/>
    <n v="7924"/>
  </r>
  <r>
    <s v="2024-06-10"/>
    <x v="2"/>
    <n v="436"/>
    <n v="250"/>
    <n v="254347"/>
    <x v="6"/>
    <n v="8912"/>
  </r>
  <r>
    <s v="2024-06-10"/>
    <x v="3"/>
    <n v="1197"/>
    <n v="203"/>
    <n v="413878"/>
    <x v="7"/>
    <n v="21205"/>
  </r>
  <r>
    <s v="2024-06-17"/>
    <x v="0"/>
    <n v="1048"/>
    <n v="155"/>
    <n v="456946"/>
    <x v="8"/>
    <n v="11329"/>
  </r>
  <r>
    <s v="2024-06-17"/>
    <x v="1"/>
    <n v="1753"/>
    <n v="371"/>
    <n v="169496"/>
    <x v="9"/>
    <n v="46670"/>
  </r>
  <r>
    <s v="2024-06-17"/>
    <x v="2"/>
    <n v="1335"/>
    <n v="40"/>
    <n v="122732"/>
    <x v="10"/>
    <n v="22482"/>
  </r>
  <r>
    <s v="2024-06-17"/>
    <x v="3"/>
    <n v="403"/>
    <n v="66"/>
    <n v="382851"/>
    <x v="11"/>
    <n v="24313"/>
  </r>
  <r>
    <s v="2024-06-24"/>
    <x v="0"/>
    <n v="911"/>
    <n v="282"/>
    <n v="35664"/>
    <x v="12"/>
    <n v="18050"/>
  </r>
  <r>
    <s v="2024-06-24"/>
    <x v="1"/>
    <n v="1779"/>
    <n v="109"/>
    <n v="26295"/>
    <x v="13"/>
    <n v="30635"/>
  </r>
  <r>
    <s v="2024-06-24"/>
    <x v="2"/>
    <n v="1238"/>
    <n v="403"/>
    <n v="298421"/>
    <x v="14"/>
    <n v="31280"/>
  </r>
  <r>
    <s v="2024-06-24"/>
    <x v="3"/>
    <n v="308"/>
    <n v="431"/>
    <n v="426184"/>
    <x v="15"/>
    <n v="1783"/>
  </r>
  <r>
    <s v="2024-07-01"/>
    <x v="0"/>
    <n v="226"/>
    <n v="445"/>
    <n v="419447"/>
    <x v="16"/>
    <n v="9566"/>
  </r>
  <r>
    <s v="2024-07-01"/>
    <x v="1"/>
    <n v="505"/>
    <n v="441"/>
    <n v="220020"/>
    <x v="17"/>
    <n v="42307"/>
  </r>
  <r>
    <s v="2024-07-01"/>
    <x v="2"/>
    <n v="1420"/>
    <n v="63"/>
    <n v="315305"/>
    <x v="18"/>
    <n v="5914"/>
  </r>
  <r>
    <s v="2024-07-01"/>
    <x v="3"/>
    <n v="144"/>
    <n v="53"/>
    <n v="113678"/>
    <x v="19"/>
    <n v="30060"/>
  </r>
  <r>
    <s v="2024-07-08"/>
    <x v="0"/>
    <n v="1757"/>
    <n v="85"/>
    <n v="58223"/>
    <x v="20"/>
    <n v="22728"/>
  </r>
  <r>
    <s v="2024-07-08"/>
    <x v="1"/>
    <n v="350"/>
    <n v="41"/>
    <n v="251694"/>
    <x v="21"/>
    <n v="38610"/>
  </r>
  <r>
    <s v="2024-07-08"/>
    <x v="2"/>
    <n v="987"/>
    <n v="440"/>
    <n v="389810"/>
    <x v="22"/>
    <n v="2932"/>
  </r>
  <r>
    <s v="2024-07-08"/>
    <x v="3"/>
    <n v="883"/>
    <n v="369"/>
    <n v="233694"/>
    <x v="23"/>
    <n v="15071"/>
  </r>
  <r>
    <s v="2024-07-15"/>
    <x v="0"/>
    <n v="1960"/>
    <n v="115"/>
    <n v="154169"/>
    <x v="24"/>
    <n v="10740"/>
  </r>
  <r>
    <s v="2024-07-15"/>
    <x v="1"/>
    <n v="170"/>
    <n v="334"/>
    <n v="334626"/>
    <x v="25"/>
    <n v="43420"/>
  </r>
  <r>
    <s v="2024-07-15"/>
    <x v="2"/>
    <n v="704"/>
    <n v="275"/>
    <n v="226002"/>
    <x v="26"/>
    <n v="32393"/>
  </r>
  <r>
    <s v="2024-07-15"/>
    <x v="3"/>
    <n v="224"/>
    <n v="64"/>
    <n v="156683"/>
    <x v="27"/>
    <n v="28474"/>
  </r>
  <r>
    <s v="2024-07-22"/>
    <x v="0"/>
    <n v="508"/>
    <n v="349"/>
    <n v="473812"/>
    <x v="28"/>
    <n v="17328"/>
  </r>
  <r>
    <s v="2024-07-22"/>
    <x v="1"/>
    <n v="1391"/>
    <n v="430"/>
    <n v="295032"/>
    <x v="29"/>
    <n v="26067"/>
  </r>
  <r>
    <s v="2024-07-22"/>
    <x v="2"/>
    <n v="1701"/>
    <n v="385"/>
    <n v="198278"/>
    <x v="30"/>
    <n v="32763"/>
  </r>
  <r>
    <s v="2024-07-22"/>
    <x v="3"/>
    <n v="804"/>
    <n v="487"/>
    <n v="306564"/>
    <x v="31"/>
    <n v="26452"/>
  </r>
  <r>
    <s v="2024-07-29"/>
    <x v="0"/>
    <n v="653"/>
    <n v="112"/>
    <n v="23664"/>
    <x v="32"/>
    <n v="15353"/>
  </r>
  <r>
    <s v="2024-07-29"/>
    <x v="1"/>
    <n v="160"/>
    <n v="478"/>
    <n v="435034"/>
    <x v="33"/>
    <n v="4839"/>
  </r>
  <r>
    <s v="2024-07-29"/>
    <x v="2"/>
    <n v="1756"/>
    <n v="261"/>
    <n v="287574"/>
    <x v="34"/>
    <n v="39272"/>
  </r>
  <r>
    <s v="2024-07-29"/>
    <x v="3"/>
    <n v="576"/>
    <n v="101"/>
    <n v="62499"/>
    <x v="35"/>
    <n v="16804"/>
  </r>
  <r>
    <s v="2024-08-05"/>
    <x v="0"/>
    <n v="645"/>
    <n v="293"/>
    <n v="437968"/>
    <x v="36"/>
    <n v="49303"/>
  </r>
  <r>
    <s v="2024-08-05"/>
    <x v="1"/>
    <n v="214"/>
    <n v="411"/>
    <n v="125034"/>
    <x v="37"/>
    <n v="26455"/>
  </r>
  <r>
    <s v="2024-08-05"/>
    <x v="2"/>
    <n v="826"/>
    <n v="498"/>
    <n v="449994"/>
    <x v="38"/>
    <n v="12384"/>
  </r>
  <r>
    <s v="2024-08-05"/>
    <x v="3"/>
    <n v="460"/>
    <n v="141"/>
    <n v="320650"/>
    <x v="39"/>
    <n v="49372"/>
  </r>
  <r>
    <s v="2024-08-12"/>
    <x v="0"/>
    <n v="1528"/>
    <n v="203"/>
    <n v="489188"/>
    <x v="40"/>
    <n v="47101"/>
  </r>
  <r>
    <s v="2024-08-12"/>
    <x v="1"/>
    <n v="1534"/>
    <n v="200"/>
    <n v="307612"/>
    <x v="41"/>
    <n v="37903"/>
  </r>
  <r>
    <s v="2024-08-12"/>
    <x v="2"/>
    <n v="485"/>
    <n v="448"/>
    <n v="434883"/>
    <x v="42"/>
    <n v="33258"/>
  </r>
  <r>
    <s v="2024-08-12"/>
    <x v="3"/>
    <n v="1210"/>
    <n v="178"/>
    <n v="102042"/>
    <x v="43"/>
    <n v="6915"/>
  </r>
  <r>
    <s v="2024-08-19"/>
    <x v="0"/>
    <n v="215"/>
    <n v="139"/>
    <n v="325444"/>
    <x v="44"/>
    <n v="35501"/>
  </r>
  <r>
    <s v="2024-08-19"/>
    <x v="1"/>
    <n v="1078"/>
    <n v="20"/>
    <n v="183924"/>
    <x v="45"/>
    <n v="14203"/>
  </r>
  <r>
    <s v="2024-08-19"/>
    <x v="2"/>
    <n v="1751"/>
    <n v="86"/>
    <n v="188655"/>
    <x v="46"/>
    <n v="22206"/>
  </r>
  <r>
    <s v="2024-08-19"/>
    <x v="3"/>
    <n v="221"/>
    <n v="31"/>
    <n v="87443"/>
    <x v="18"/>
    <n v="10283"/>
  </r>
  <r>
    <s v="2024-08-26"/>
    <x v="0"/>
    <n v="1685"/>
    <n v="76"/>
    <n v="453799"/>
    <x v="47"/>
    <n v="24913"/>
  </r>
  <r>
    <s v="2024-08-26"/>
    <x v="1"/>
    <n v="248"/>
    <n v="211"/>
    <n v="379380"/>
    <x v="48"/>
    <n v="26925"/>
  </r>
  <r>
    <s v="2024-08-26"/>
    <x v="2"/>
    <n v="1300"/>
    <n v="71"/>
    <n v="186454"/>
    <x v="49"/>
    <n v="9942"/>
  </r>
  <r>
    <s v="2024-08-26"/>
    <x v="3"/>
    <n v="422"/>
    <n v="394"/>
    <n v="239044"/>
    <x v="36"/>
    <n v="32929"/>
  </r>
  <r>
    <s v="2024-09-02"/>
    <x v="0"/>
    <n v="1429"/>
    <n v="182"/>
    <n v="101332"/>
    <x v="50"/>
    <n v="37829"/>
  </r>
  <r>
    <s v="2024-09-02"/>
    <x v="1"/>
    <n v="1520"/>
    <n v="475"/>
    <n v="496982"/>
    <x v="51"/>
    <n v="24384"/>
  </r>
  <r>
    <s v="2024-09-02"/>
    <x v="2"/>
    <n v="557"/>
    <n v="360"/>
    <n v="318779"/>
    <x v="52"/>
    <n v="25797"/>
  </r>
  <r>
    <s v="2024-09-02"/>
    <x v="3"/>
    <n v="728"/>
    <n v="395"/>
    <n v="370971"/>
    <x v="53"/>
    <n v="12646"/>
  </r>
  <r>
    <s v="2024-09-09"/>
    <x v="0"/>
    <n v="1592"/>
    <n v="20"/>
    <n v="378054"/>
    <x v="54"/>
    <n v="26663"/>
  </r>
  <r>
    <s v="2024-09-09"/>
    <x v="1"/>
    <n v="1842"/>
    <n v="414"/>
    <n v="307524"/>
    <x v="55"/>
    <n v="40478"/>
  </r>
  <r>
    <s v="2024-09-09"/>
    <x v="2"/>
    <n v="751"/>
    <n v="491"/>
    <n v="434047"/>
    <x v="56"/>
    <n v="15476"/>
  </r>
  <r>
    <s v="2024-09-09"/>
    <x v="3"/>
    <n v="1409"/>
    <n v="309"/>
    <n v="64583"/>
    <x v="57"/>
    <n v="10217"/>
  </r>
  <r>
    <s v="2024-09-16"/>
    <x v="0"/>
    <n v="778"/>
    <n v="401"/>
    <n v="50793"/>
    <x v="58"/>
    <n v="21939"/>
  </r>
  <r>
    <s v="2024-09-16"/>
    <x v="1"/>
    <n v="443"/>
    <n v="345"/>
    <n v="474162"/>
    <x v="59"/>
    <n v="47462"/>
  </r>
  <r>
    <s v="2024-09-16"/>
    <x v="2"/>
    <n v="1472"/>
    <n v="347"/>
    <n v="392355"/>
    <x v="60"/>
    <n v="30270"/>
  </r>
  <r>
    <s v="2024-09-16"/>
    <x v="3"/>
    <n v="123"/>
    <n v="155"/>
    <n v="119934"/>
    <x v="14"/>
    <n v="5442"/>
  </r>
  <r>
    <s v="2024-09-23"/>
    <x v="0"/>
    <n v="817"/>
    <n v="151"/>
    <n v="422625"/>
    <x v="61"/>
    <n v="1083"/>
  </r>
  <r>
    <s v="2024-09-23"/>
    <x v="1"/>
    <n v="198"/>
    <n v="217"/>
    <n v="239753"/>
    <x v="62"/>
    <n v="11901"/>
  </r>
  <r>
    <s v="2024-09-23"/>
    <x v="2"/>
    <n v="1911"/>
    <n v="231"/>
    <n v="268516"/>
    <x v="42"/>
    <n v="24018"/>
  </r>
  <r>
    <s v="2024-09-23"/>
    <x v="3"/>
    <n v="1218"/>
    <n v="212"/>
    <n v="63177"/>
    <x v="63"/>
    <n v="38883"/>
  </r>
  <r>
    <s v="2024-09-30"/>
    <x v="0"/>
    <n v="1433"/>
    <n v="408"/>
    <n v="370269"/>
    <x v="64"/>
    <n v="30575"/>
  </r>
  <r>
    <s v="2024-09-30"/>
    <x v="1"/>
    <n v="250"/>
    <n v="429"/>
    <n v="453423"/>
    <x v="65"/>
    <n v="2315"/>
  </r>
  <r>
    <s v="2024-09-30"/>
    <x v="2"/>
    <n v="752"/>
    <n v="153"/>
    <n v="64906"/>
    <x v="66"/>
    <n v="12148"/>
  </r>
  <r>
    <s v="2024-09-30"/>
    <x v="3"/>
    <n v="1918"/>
    <n v="212"/>
    <n v="94360"/>
    <x v="62"/>
    <n v="36851"/>
  </r>
  <r>
    <s v="2024-10-07"/>
    <x v="0"/>
    <n v="1939"/>
    <n v="67"/>
    <n v="187183"/>
    <x v="67"/>
    <n v="41215"/>
  </r>
  <r>
    <s v="2024-10-07"/>
    <x v="1"/>
    <n v="1929"/>
    <n v="267"/>
    <n v="379363"/>
    <x v="68"/>
    <n v="43836"/>
  </r>
  <r>
    <s v="2024-10-07"/>
    <x v="2"/>
    <n v="437"/>
    <n v="330"/>
    <n v="476486"/>
    <x v="69"/>
    <n v="4509"/>
  </r>
  <r>
    <s v="2024-10-07"/>
    <x v="3"/>
    <n v="307"/>
    <n v="189"/>
    <n v="117767"/>
    <x v="70"/>
    <n v="27822"/>
  </r>
  <r>
    <s v="2024-10-14"/>
    <x v="0"/>
    <n v="1527"/>
    <n v="303"/>
    <n v="388555"/>
    <x v="71"/>
    <n v="36397"/>
  </r>
  <r>
    <s v="2024-10-14"/>
    <x v="1"/>
    <n v="643"/>
    <n v="358"/>
    <n v="157599"/>
    <x v="72"/>
    <n v="7285"/>
  </r>
  <r>
    <s v="2024-10-14"/>
    <x v="2"/>
    <n v="201"/>
    <n v="221"/>
    <n v="309772"/>
    <x v="73"/>
    <n v="33174"/>
  </r>
  <r>
    <s v="2024-10-14"/>
    <x v="3"/>
    <n v="414"/>
    <n v="47"/>
    <n v="199178"/>
    <x v="74"/>
    <n v="6742"/>
  </r>
  <r>
    <s v="2024-10-21"/>
    <x v="0"/>
    <n v="703"/>
    <n v="441"/>
    <n v="357089"/>
    <x v="75"/>
    <n v="32478"/>
  </r>
  <r>
    <s v="2024-10-21"/>
    <x v="1"/>
    <n v="508"/>
    <n v="69"/>
    <n v="23492"/>
    <x v="7"/>
    <n v="42824"/>
  </r>
  <r>
    <s v="2024-10-21"/>
    <x v="2"/>
    <n v="697"/>
    <n v="61"/>
    <n v="258287"/>
    <x v="76"/>
    <n v="21208"/>
  </r>
  <r>
    <s v="2024-10-21"/>
    <x v="3"/>
    <n v="1707"/>
    <n v="223"/>
    <n v="256910"/>
    <x v="77"/>
    <n v="44321"/>
  </r>
  <r>
    <s v="2024-10-28"/>
    <x v="0"/>
    <n v="642"/>
    <n v="66"/>
    <n v="346522"/>
    <x v="78"/>
    <n v="13116"/>
  </r>
  <r>
    <s v="2024-10-28"/>
    <x v="1"/>
    <n v="859"/>
    <n v="473"/>
    <n v="209987"/>
    <x v="79"/>
    <n v="30214"/>
  </r>
  <r>
    <s v="2024-10-28"/>
    <x v="2"/>
    <n v="191"/>
    <n v="154"/>
    <n v="240550"/>
    <x v="80"/>
    <n v="15827"/>
  </r>
  <r>
    <s v="2024-10-28"/>
    <x v="3"/>
    <n v="1814"/>
    <n v="157"/>
    <n v="305827"/>
    <x v="81"/>
    <n v="46643"/>
  </r>
  <r>
    <s v="2024-11-04"/>
    <x v="0"/>
    <n v="1466"/>
    <n v="69"/>
    <n v="54935"/>
    <x v="82"/>
    <n v="36484"/>
  </r>
  <r>
    <s v="2024-11-04"/>
    <x v="1"/>
    <n v="947"/>
    <n v="407"/>
    <n v="319186"/>
    <x v="83"/>
    <n v="4996"/>
  </r>
  <r>
    <s v="2024-11-04"/>
    <x v="2"/>
    <n v="1821"/>
    <n v="218"/>
    <n v="439080"/>
    <x v="84"/>
    <n v="36095"/>
  </r>
  <r>
    <s v="2024-11-04"/>
    <x v="3"/>
    <n v="1507"/>
    <n v="463"/>
    <n v="258944"/>
    <x v="85"/>
    <n v="16443"/>
  </r>
  <r>
    <s v="2024-11-11"/>
    <x v="0"/>
    <n v="1075"/>
    <n v="173"/>
    <n v="51395"/>
    <x v="22"/>
    <n v="47812"/>
  </r>
  <r>
    <s v="2024-11-11"/>
    <x v="1"/>
    <n v="171"/>
    <n v="277"/>
    <n v="309483"/>
    <x v="86"/>
    <n v="38452"/>
  </r>
  <r>
    <s v="2024-11-11"/>
    <x v="2"/>
    <n v="1487"/>
    <n v="337"/>
    <n v="87305"/>
    <x v="8"/>
    <n v="30428"/>
  </r>
  <r>
    <s v="2024-11-11"/>
    <x v="3"/>
    <n v="454"/>
    <n v="105"/>
    <n v="121091"/>
    <x v="87"/>
    <n v="9269"/>
  </r>
  <r>
    <s v="2024-11-18"/>
    <x v="0"/>
    <n v="187"/>
    <n v="236"/>
    <n v="51087"/>
    <x v="88"/>
    <n v="29533"/>
  </r>
  <r>
    <s v="2024-11-18"/>
    <x v="1"/>
    <n v="513"/>
    <n v="441"/>
    <n v="338847"/>
    <x v="89"/>
    <n v="39997"/>
  </r>
  <r>
    <s v="2024-11-18"/>
    <x v="2"/>
    <n v="628"/>
    <n v="183"/>
    <n v="487523"/>
    <x v="90"/>
    <n v="5391"/>
  </r>
  <r>
    <s v="2024-11-18"/>
    <x v="3"/>
    <n v="278"/>
    <n v="218"/>
    <n v="301695"/>
    <x v="91"/>
    <n v="22373"/>
  </r>
  <r>
    <s v="2024-11-25"/>
    <x v="0"/>
    <n v="1854"/>
    <n v="161"/>
    <n v="282466"/>
    <x v="92"/>
    <n v="1810"/>
  </r>
  <r>
    <s v="2024-11-25"/>
    <x v="1"/>
    <n v="1710"/>
    <n v="378"/>
    <n v="336661"/>
    <x v="93"/>
    <n v="28498"/>
  </r>
  <r>
    <s v="2024-11-25"/>
    <x v="2"/>
    <n v="330"/>
    <n v="232"/>
    <n v="88455"/>
    <x v="94"/>
    <n v="39530"/>
  </r>
  <r>
    <s v="2024-11-25"/>
    <x v="3"/>
    <n v="1293"/>
    <n v="408"/>
    <n v="62535"/>
    <x v="71"/>
    <n v="37876"/>
  </r>
  <r>
    <s v="2024-12-02"/>
    <x v="0"/>
    <n v="1696"/>
    <n v="71"/>
    <n v="421957"/>
    <x v="95"/>
    <n v="36103"/>
  </r>
  <r>
    <s v="2024-12-02"/>
    <x v="1"/>
    <n v="1902"/>
    <n v="196"/>
    <n v="470269"/>
    <x v="96"/>
    <n v="26103"/>
  </r>
  <r>
    <s v="2024-12-02"/>
    <x v="2"/>
    <n v="1441"/>
    <n v="268"/>
    <n v="309904"/>
    <x v="97"/>
    <n v="3455"/>
  </r>
  <r>
    <s v="2024-12-02"/>
    <x v="3"/>
    <n v="452"/>
    <n v="161"/>
    <n v="221274"/>
    <x v="98"/>
    <n v="40888"/>
  </r>
  <r>
    <s v="2024-12-09"/>
    <x v="0"/>
    <n v="1494"/>
    <n v="375"/>
    <n v="220616"/>
    <x v="99"/>
    <n v="22724"/>
  </r>
  <r>
    <s v="2024-12-09"/>
    <x v="1"/>
    <n v="1514"/>
    <n v="141"/>
    <n v="35842"/>
    <x v="100"/>
    <n v="18601"/>
  </r>
  <r>
    <s v="2024-12-09"/>
    <x v="2"/>
    <n v="1937"/>
    <n v="210"/>
    <n v="20607"/>
    <x v="101"/>
    <n v="20861"/>
  </r>
  <r>
    <s v="2024-12-09"/>
    <x v="3"/>
    <n v="736"/>
    <n v="163"/>
    <n v="451894"/>
    <x v="102"/>
    <n v="46625"/>
  </r>
  <r>
    <s v="2024-12-16"/>
    <x v="0"/>
    <n v="1502"/>
    <n v="70"/>
    <n v="465553"/>
    <x v="83"/>
    <n v="20692"/>
  </r>
  <r>
    <s v="2024-12-16"/>
    <x v="1"/>
    <n v="1623"/>
    <n v="246"/>
    <n v="415815"/>
    <x v="9"/>
    <n v="18656"/>
  </r>
  <r>
    <s v="2024-12-16"/>
    <x v="2"/>
    <n v="1592"/>
    <n v="233"/>
    <n v="327183"/>
    <x v="103"/>
    <n v="13316"/>
  </r>
  <r>
    <s v="2024-12-16"/>
    <x v="3"/>
    <n v="1004"/>
    <n v="128"/>
    <n v="488901"/>
    <x v="104"/>
    <n v="49558"/>
  </r>
  <r>
    <s v="2024-12-23"/>
    <x v="0"/>
    <n v="1092"/>
    <n v="408"/>
    <n v="280795"/>
    <x v="105"/>
    <n v="4683"/>
  </r>
  <r>
    <s v="2024-12-23"/>
    <x v="1"/>
    <n v="1155"/>
    <n v="425"/>
    <n v="93347"/>
    <x v="106"/>
    <n v="47502"/>
  </r>
  <r>
    <s v="2024-12-23"/>
    <x v="2"/>
    <n v="1137"/>
    <n v="226"/>
    <n v="81119"/>
    <x v="107"/>
    <n v="35359"/>
  </r>
  <r>
    <s v="2024-12-23"/>
    <x v="3"/>
    <n v="1900"/>
    <n v="311"/>
    <n v="25177"/>
    <x v="108"/>
    <n v="14154"/>
  </r>
  <r>
    <s v="2024-12-30"/>
    <x v="0"/>
    <n v="1814"/>
    <n v="49"/>
    <n v="140804"/>
    <x v="55"/>
    <n v="4313"/>
  </r>
  <r>
    <s v="2024-12-30"/>
    <x v="1"/>
    <n v="1980"/>
    <n v="204"/>
    <n v="379431"/>
    <x v="109"/>
    <n v="25140"/>
  </r>
  <r>
    <s v="2024-12-30"/>
    <x v="2"/>
    <n v="1786"/>
    <n v="257"/>
    <n v="274831"/>
    <x v="91"/>
    <n v="9118"/>
  </r>
  <r>
    <s v="2024-12-30"/>
    <x v="3"/>
    <n v="1495"/>
    <n v="35"/>
    <n v="136845"/>
    <x v="17"/>
    <n v="39931"/>
  </r>
  <r>
    <s v="2025-01-06"/>
    <x v="0"/>
    <n v="1013"/>
    <n v="110"/>
    <n v="466382"/>
    <x v="110"/>
    <n v="37132"/>
  </r>
  <r>
    <s v="2025-01-06"/>
    <x v="1"/>
    <n v="816"/>
    <n v="196"/>
    <n v="95728"/>
    <x v="111"/>
    <n v="17951"/>
  </r>
  <r>
    <s v="2025-01-06"/>
    <x v="2"/>
    <n v="1633"/>
    <n v="445"/>
    <n v="371156"/>
    <x v="112"/>
    <n v="2798"/>
  </r>
  <r>
    <s v="2025-01-06"/>
    <x v="3"/>
    <n v="891"/>
    <n v="45"/>
    <n v="95410"/>
    <x v="113"/>
    <n v="15045"/>
  </r>
  <r>
    <s v="2025-01-13"/>
    <x v="0"/>
    <n v="1855"/>
    <n v="133"/>
    <n v="349413"/>
    <x v="64"/>
    <n v="14548"/>
  </r>
  <r>
    <s v="2025-01-13"/>
    <x v="1"/>
    <n v="651"/>
    <n v="353"/>
    <n v="224699"/>
    <x v="114"/>
    <n v="45708"/>
  </r>
  <r>
    <s v="2025-01-13"/>
    <x v="2"/>
    <n v="118"/>
    <n v="262"/>
    <n v="487896"/>
    <x v="115"/>
    <n v="12350"/>
  </r>
  <r>
    <s v="2025-01-13"/>
    <x v="3"/>
    <n v="1331"/>
    <n v="430"/>
    <n v="14437"/>
    <x v="116"/>
    <n v="40868"/>
  </r>
  <r>
    <s v="2025-01-20"/>
    <x v="0"/>
    <n v="1748"/>
    <n v="176"/>
    <n v="383681"/>
    <x v="56"/>
    <n v="43122"/>
  </r>
  <r>
    <s v="2025-01-20"/>
    <x v="1"/>
    <n v="663"/>
    <n v="236"/>
    <n v="479490"/>
    <x v="117"/>
    <n v="23853"/>
  </r>
  <r>
    <s v="2025-01-20"/>
    <x v="2"/>
    <n v="1040"/>
    <n v="149"/>
    <n v="124404"/>
    <x v="118"/>
    <n v="45380"/>
  </r>
  <r>
    <s v="2025-01-20"/>
    <x v="3"/>
    <n v="1166"/>
    <n v="442"/>
    <n v="336949"/>
    <x v="91"/>
    <n v="7705"/>
  </r>
  <r>
    <s v="2025-01-27"/>
    <x v="0"/>
    <n v="115"/>
    <n v="281"/>
    <n v="357265"/>
    <x v="119"/>
    <n v="25525"/>
  </r>
  <r>
    <s v="2025-01-27"/>
    <x v="1"/>
    <n v="1249"/>
    <n v="351"/>
    <n v="321307"/>
    <x v="97"/>
    <n v="20560"/>
  </r>
  <r>
    <s v="2025-01-27"/>
    <x v="2"/>
    <n v="1501"/>
    <n v="75"/>
    <n v="262569"/>
    <x v="120"/>
    <n v="19119"/>
  </r>
  <r>
    <s v="2025-01-27"/>
    <x v="3"/>
    <n v="1411"/>
    <n v="186"/>
    <n v="461669"/>
    <x v="121"/>
    <n v="43999"/>
  </r>
  <r>
    <s v="2025-02-03"/>
    <x v="0"/>
    <n v="1556"/>
    <n v="476"/>
    <n v="351556"/>
    <x v="122"/>
    <n v="10825"/>
  </r>
  <r>
    <s v="2025-02-03"/>
    <x v="1"/>
    <n v="1159"/>
    <n v="411"/>
    <n v="135987"/>
    <x v="86"/>
    <n v="40323"/>
  </r>
  <r>
    <s v="2025-02-03"/>
    <x v="2"/>
    <n v="927"/>
    <n v="358"/>
    <n v="177554"/>
    <x v="123"/>
    <n v="48270"/>
  </r>
  <r>
    <s v="2025-02-03"/>
    <x v="3"/>
    <n v="152"/>
    <n v="355"/>
    <n v="270766"/>
    <x v="124"/>
    <n v="18001"/>
  </r>
  <r>
    <s v="2025-02-10"/>
    <x v="0"/>
    <n v="1957"/>
    <n v="234"/>
    <n v="222126"/>
    <x v="125"/>
    <n v="3314"/>
  </r>
  <r>
    <s v="2025-02-10"/>
    <x v="1"/>
    <n v="1294"/>
    <n v="382"/>
    <n v="309914"/>
    <x v="126"/>
    <n v="23489"/>
  </r>
  <r>
    <s v="2025-02-10"/>
    <x v="2"/>
    <n v="1587"/>
    <n v="385"/>
    <n v="126582"/>
    <x v="127"/>
    <n v="42832"/>
  </r>
  <r>
    <s v="2025-02-10"/>
    <x v="3"/>
    <n v="1707"/>
    <n v="263"/>
    <n v="485280"/>
    <x v="128"/>
    <n v="24494"/>
  </r>
  <r>
    <s v="2025-02-17"/>
    <x v="0"/>
    <n v="1138"/>
    <n v="173"/>
    <n v="453243"/>
    <x v="129"/>
    <n v="44097"/>
  </r>
  <r>
    <s v="2025-02-17"/>
    <x v="1"/>
    <n v="1895"/>
    <n v="305"/>
    <n v="104967"/>
    <x v="130"/>
    <n v="31853"/>
  </r>
  <r>
    <s v="2025-02-17"/>
    <x v="2"/>
    <n v="362"/>
    <n v="399"/>
    <n v="145608"/>
    <x v="131"/>
    <n v="37636"/>
  </r>
  <r>
    <s v="2025-02-17"/>
    <x v="3"/>
    <n v="1662"/>
    <n v="487"/>
    <n v="105980"/>
    <x v="132"/>
    <n v="22996"/>
  </r>
  <r>
    <s v="2025-02-24"/>
    <x v="0"/>
    <n v="1440"/>
    <n v="65"/>
    <n v="126524"/>
    <x v="133"/>
    <n v="49772"/>
  </r>
  <r>
    <s v="2025-02-24"/>
    <x v="1"/>
    <n v="1884"/>
    <n v="177"/>
    <n v="230448"/>
    <x v="134"/>
    <n v="22713"/>
  </r>
  <r>
    <s v="2025-02-24"/>
    <x v="2"/>
    <n v="861"/>
    <n v="153"/>
    <n v="317007"/>
    <x v="130"/>
    <n v="8718"/>
  </r>
  <r>
    <s v="2025-02-24"/>
    <x v="3"/>
    <n v="1063"/>
    <n v="47"/>
    <n v="464239"/>
    <x v="135"/>
    <n v="39031"/>
  </r>
  <r>
    <s v="2025-03-03"/>
    <x v="0"/>
    <n v="1371"/>
    <n v="56"/>
    <n v="257579"/>
    <x v="136"/>
    <n v="33799"/>
  </r>
  <r>
    <s v="2025-03-03"/>
    <x v="1"/>
    <n v="345"/>
    <n v="464"/>
    <n v="366881"/>
    <x v="137"/>
    <n v="20553"/>
  </r>
  <r>
    <s v="2025-03-03"/>
    <x v="2"/>
    <n v="946"/>
    <n v="47"/>
    <n v="466575"/>
    <x v="113"/>
    <n v="10002"/>
  </r>
  <r>
    <s v="2025-03-03"/>
    <x v="3"/>
    <n v="510"/>
    <n v="195"/>
    <n v="224534"/>
    <x v="138"/>
    <n v="30987"/>
  </r>
  <r>
    <s v="2025-03-10"/>
    <x v="0"/>
    <n v="393"/>
    <n v="181"/>
    <n v="462142"/>
    <x v="139"/>
    <n v="6296"/>
  </r>
  <r>
    <s v="2025-03-10"/>
    <x v="1"/>
    <n v="1098"/>
    <n v="190"/>
    <n v="340842"/>
    <x v="140"/>
    <n v="21539"/>
  </r>
  <r>
    <s v="2025-03-10"/>
    <x v="2"/>
    <n v="1399"/>
    <n v="49"/>
    <n v="12471"/>
    <x v="141"/>
    <n v="14722"/>
  </r>
  <r>
    <s v="2025-03-10"/>
    <x v="3"/>
    <n v="1658"/>
    <n v="416"/>
    <n v="98397"/>
    <x v="37"/>
    <n v="11383"/>
  </r>
  <r>
    <s v="2025-03-17"/>
    <x v="0"/>
    <n v="1102"/>
    <n v="422"/>
    <n v="410330"/>
    <x v="107"/>
    <n v="9480"/>
  </r>
  <r>
    <s v="2025-03-17"/>
    <x v="1"/>
    <n v="1358"/>
    <n v="242"/>
    <n v="342129"/>
    <x v="142"/>
    <n v="29116"/>
  </r>
  <r>
    <s v="2025-03-17"/>
    <x v="2"/>
    <n v="1077"/>
    <n v="216"/>
    <n v="12447"/>
    <x v="143"/>
    <n v="14068"/>
  </r>
  <r>
    <s v="2025-03-17"/>
    <x v="3"/>
    <n v="1596"/>
    <n v="211"/>
    <n v="17380"/>
    <x v="144"/>
    <n v="35801"/>
  </r>
  <r>
    <s v="2025-03-24"/>
    <x v="0"/>
    <n v="490"/>
    <n v="29"/>
    <n v="364810"/>
    <x v="74"/>
    <n v="49077"/>
  </r>
  <r>
    <s v="2025-03-24"/>
    <x v="1"/>
    <n v="609"/>
    <n v="135"/>
    <n v="373606"/>
    <x v="145"/>
    <n v="21453"/>
  </r>
  <r>
    <s v="2025-03-24"/>
    <x v="2"/>
    <n v="364"/>
    <n v="72"/>
    <n v="211090"/>
    <x v="146"/>
    <n v="21061"/>
  </r>
  <r>
    <s v="2025-03-24"/>
    <x v="3"/>
    <n v="442"/>
    <n v="53"/>
    <n v="441931"/>
    <x v="147"/>
    <n v="20059"/>
  </r>
  <r>
    <s v="2025-03-31"/>
    <x v="0"/>
    <n v="1033"/>
    <n v="392"/>
    <n v="282780"/>
    <x v="148"/>
    <n v="23140"/>
  </r>
  <r>
    <s v="2025-03-31"/>
    <x v="1"/>
    <n v="988"/>
    <n v="474"/>
    <n v="370070"/>
    <x v="149"/>
    <n v="23461"/>
  </r>
  <r>
    <s v="2025-03-31"/>
    <x v="2"/>
    <n v="1946"/>
    <n v="270"/>
    <n v="198350"/>
    <x v="150"/>
    <n v="11805"/>
  </r>
  <r>
    <s v="2025-03-31"/>
    <x v="3"/>
    <n v="1957"/>
    <n v="490"/>
    <n v="435726"/>
    <x v="151"/>
    <n v="15969"/>
  </r>
  <r>
    <s v="2025-04-07"/>
    <x v="0"/>
    <n v="559"/>
    <n v="392"/>
    <n v="78789"/>
    <x v="152"/>
    <n v="2436"/>
  </r>
  <r>
    <s v="2025-04-07"/>
    <x v="1"/>
    <n v="1307"/>
    <n v="278"/>
    <n v="98596"/>
    <x v="153"/>
    <n v="47603"/>
  </r>
  <r>
    <s v="2025-04-07"/>
    <x v="2"/>
    <n v="1432"/>
    <n v="425"/>
    <n v="29589"/>
    <x v="154"/>
    <n v="42964"/>
  </r>
  <r>
    <s v="2025-04-07"/>
    <x v="3"/>
    <n v="623"/>
    <n v="414"/>
    <n v="290354"/>
    <x v="155"/>
    <n v="39923"/>
  </r>
  <r>
    <s v="2025-04-14"/>
    <x v="0"/>
    <n v="198"/>
    <n v="358"/>
    <n v="66682"/>
    <x v="156"/>
    <n v="2293"/>
  </r>
  <r>
    <s v="2025-04-14"/>
    <x v="1"/>
    <n v="198"/>
    <n v="373"/>
    <n v="70707"/>
    <x v="157"/>
    <n v="25920"/>
  </r>
  <r>
    <s v="2025-04-14"/>
    <x v="2"/>
    <n v="353"/>
    <n v="300"/>
    <n v="142507"/>
    <x v="110"/>
    <n v="11035"/>
  </r>
  <r>
    <s v="2025-04-14"/>
    <x v="3"/>
    <n v="520"/>
    <n v="375"/>
    <n v="369525"/>
    <x v="158"/>
    <n v="20733"/>
  </r>
  <r>
    <s v="2025-04-21"/>
    <x v="0"/>
    <n v="961"/>
    <n v="358"/>
    <n v="62942"/>
    <x v="159"/>
    <n v="18693"/>
  </r>
  <r>
    <s v="2025-04-21"/>
    <x v="1"/>
    <n v="1375"/>
    <n v="330"/>
    <n v="377382"/>
    <x v="160"/>
    <n v="7875"/>
  </r>
  <r>
    <s v="2025-04-21"/>
    <x v="2"/>
    <n v="1147"/>
    <n v="388"/>
    <n v="333851"/>
    <x v="161"/>
    <n v="8471"/>
  </r>
  <r>
    <s v="2025-04-21"/>
    <x v="3"/>
    <n v="1707"/>
    <n v="74"/>
    <n v="270958"/>
    <x v="109"/>
    <n v="14090"/>
  </r>
  <r>
    <s v="2025-04-28"/>
    <x v="0"/>
    <n v="1693"/>
    <n v="154"/>
    <n v="445944"/>
    <x v="162"/>
    <n v="14216"/>
  </r>
  <r>
    <s v="2025-04-28"/>
    <x v="1"/>
    <n v="833"/>
    <n v="380"/>
    <n v="224830"/>
    <x v="53"/>
    <n v="3582"/>
  </r>
  <r>
    <s v="2025-04-28"/>
    <x v="2"/>
    <n v="1222"/>
    <n v="274"/>
    <n v="487289"/>
    <x v="7"/>
    <n v="32500"/>
  </r>
  <r>
    <s v="2025-04-28"/>
    <x v="3"/>
    <n v="777"/>
    <n v="140"/>
    <n v="11435"/>
    <x v="163"/>
    <n v="6832"/>
  </r>
  <r>
    <s v="2025-05-05"/>
    <x v="0"/>
    <n v="1957"/>
    <n v="76"/>
    <n v="447902"/>
    <x v="164"/>
    <n v="33381"/>
  </r>
  <r>
    <s v="2025-05-05"/>
    <x v="1"/>
    <n v="405"/>
    <n v="66"/>
    <n v="418696"/>
    <x v="165"/>
    <n v="48419"/>
  </r>
  <r>
    <s v="2025-05-05"/>
    <x v="2"/>
    <n v="1581"/>
    <n v="71"/>
    <n v="484364"/>
    <x v="166"/>
    <n v="16149"/>
  </r>
  <r>
    <s v="2025-05-05"/>
    <x v="3"/>
    <n v="1035"/>
    <n v="171"/>
    <n v="148477"/>
    <x v="167"/>
    <n v="7541"/>
  </r>
  <r>
    <s v="2025-05-12"/>
    <x v="0"/>
    <n v="1765"/>
    <n v="109"/>
    <n v="468301"/>
    <x v="168"/>
    <n v="20042"/>
  </r>
  <r>
    <s v="2025-05-12"/>
    <x v="1"/>
    <n v="837"/>
    <n v="430"/>
    <n v="364820"/>
    <x v="169"/>
    <n v="49400"/>
  </r>
  <r>
    <s v="2025-05-12"/>
    <x v="2"/>
    <n v="337"/>
    <n v="68"/>
    <n v="456298"/>
    <x v="170"/>
    <n v="4007"/>
  </r>
  <r>
    <s v="2025-05-12"/>
    <x v="3"/>
    <n v="119"/>
    <n v="456"/>
    <n v="82558"/>
    <x v="171"/>
    <n v="12174"/>
  </r>
</pivotCacheRecords>
</file>

<file path=xl/pivotCache/pivotCacheRecords2.xml><?xml version="1.0" encoding="utf-8"?>
<pivotCacheRecords xmlns="http://purl.oclc.org/ooxml/spreadsheetml/main" xmlns:r="http://purl.oclc.org/ooxml/officeDocument/relationships" xmlns:mc="http://schemas.openxmlformats.org/markup-compatibility/2006" xmlns:xr="http://schemas.microsoft.com/office/spreadsheetml/2014/revision" mc:Ignorable="xr" count="200">
  <r>
    <s v="2024-06-03"/>
    <x v="0"/>
    <n v="1135"/>
    <n v="88"/>
    <n v="344084"/>
    <n v="8.06"/>
    <n v="5904"/>
    <n v="-0.85713662942769786"/>
  </r>
  <r>
    <s v="2024-06-03"/>
    <x v="1"/>
    <n v="1312"/>
    <n v="310"/>
    <n v="42654"/>
    <n v="4.9800000000000004"/>
    <n v="9566"/>
    <n v="6.4214610587518166"/>
  </r>
  <r>
    <s v="2024-06-03"/>
    <x v="2"/>
    <n v="584"/>
    <n v="169"/>
    <n v="146834"/>
    <n v="8.31"/>
    <n v="26752"/>
    <n v="0.73220779928354474"/>
  </r>
  <r>
    <s v="2024-06-03"/>
    <x v="3"/>
    <n v="1535"/>
    <n v="445"/>
    <n v="395536"/>
    <n v="4.1100000000000003"/>
    <n v="30671"/>
    <n v="4.6372517292989766E-2"/>
  </r>
  <r>
    <s v="2024-06-10"/>
    <x v="0"/>
    <n v="656"/>
    <n v="139"/>
    <n v="49157"/>
    <n v="9.0500000000000007"/>
    <n v="9920"/>
    <n v="8.2956445674064732"/>
  </r>
  <r>
    <s v="2024-06-10"/>
    <x v="1"/>
    <n v="1697"/>
    <n v="414"/>
    <n v="316555"/>
    <n v="2.37"/>
    <n v="7924"/>
    <n v="-0.46456066086462067"/>
  </r>
  <r>
    <s v="2024-06-10"/>
    <x v="2"/>
    <n v="436"/>
    <n v="250"/>
    <n v="254347"/>
    <n v="4.01"/>
    <n v="8912"/>
    <n v="-0.51746236440767923"/>
  </r>
  <r>
    <s v="2024-06-10"/>
    <x v="3"/>
    <n v="1197"/>
    <n v="203"/>
    <n v="413878"/>
    <n v="3.16"/>
    <n v="21205"/>
    <n v="-7.4966536032357367E-2"/>
  </r>
  <r>
    <s v="2024-06-17"/>
    <x v="0"/>
    <n v="1048"/>
    <n v="155"/>
    <n v="456946"/>
    <n v="2.46"/>
    <n v="11329"/>
    <n v="-0.92195139031745543"/>
  </r>
  <r>
    <s v="2024-06-17"/>
    <x v="1"/>
    <n v="1753"/>
    <n v="371"/>
    <n v="169496"/>
    <n v="8.11"/>
    <n v="46670"/>
    <n v="-0.84486359560107616"/>
  </r>
  <r>
    <s v="2024-06-17"/>
    <x v="2"/>
    <n v="1335"/>
    <n v="40"/>
    <n v="122732"/>
    <n v="8.19"/>
    <n v="22482"/>
    <n v="1.4314848613238602"/>
  </r>
  <r>
    <s v="2024-06-17"/>
    <x v="3"/>
    <n v="403"/>
    <n v="66"/>
    <n v="382851"/>
    <n v="3.49"/>
    <n v="24313"/>
    <n v="0.11318502498360981"/>
  </r>
  <r>
    <s v="2024-06-24"/>
    <x v="0"/>
    <n v="911"/>
    <n v="282"/>
    <n v="35664"/>
    <n v="6.92"/>
    <n v="18050"/>
    <n v="10.761075594436967"/>
  </r>
  <r>
    <s v="2024-06-24"/>
    <x v="1"/>
    <n v="1779"/>
    <n v="109"/>
    <n v="26295"/>
    <n v="9.1199999999999992"/>
    <n v="30635"/>
    <n v="7.3673702224757562"/>
  </r>
  <r>
    <s v="2024-06-24"/>
    <x v="2"/>
    <n v="1238"/>
    <n v="403"/>
    <n v="298421"/>
    <n v="3.5"/>
    <n v="31280"/>
    <n v="5.6577787756223588E-2"/>
  </r>
  <r>
    <s v="2024-06-24"/>
    <x v="3"/>
    <n v="308"/>
    <n v="431"/>
    <n v="426184"/>
    <n v="2.62"/>
    <n v="1783"/>
    <n v="-0.73326544403356297"/>
  </r>
  <r>
    <s v="2024-07-01"/>
    <x v="0"/>
    <n v="226"/>
    <n v="445"/>
    <n v="419447"/>
    <n v="9.36"/>
    <n v="9566"/>
    <n v="-0.86119104439893479"/>
  </r>
  <r>
    <s v="2024-07-01"/>
    <x v="1"/>
    <n v="505"/>
    <n v="441"/>
    <n v="220020"/>
    <n v="4.4800000000000004"/>
    <n v="42307"/>
    <n v="0.1439596400327243"/>
  </r>
  <r>
    <s v="2024-07-01"/>
    <x v="2"/>
    <n v="1420"/>
    <n v="63"/>
    <n v="315305"/>
    <n v="6.19"/>
    <n v="5914"/>
    <n v="0.23629501593694993"/>
  </r>
  <r>
    <s v="2024-07-01"/>
    <x v="3"/>
    <n v="144"/>
    <n v="53"/>
    <n v="113678"/>
    <n v="8.7200000000000006"/>
    <n v="30060"/>
    <n v="1.0557539717447528"/>
  </r>
  <r>
    <s v="2024-07-08"/>
    <x v="0"/>
    <n v="1757"/>
    <n v="85"/>
    <n v="58223"/>
    <n v="8.74"/>
    <n v="22728"/>
    <n v="1.6479054669117015"/>
  </r>
  <r>
    <s v="2024-07-08"/>
    <x v="1"/>
    <n v="350"/>
    <n v="41"/>
    <n v="251694"/>
    <n v="1.91"/>
    <n v="38610"/>
    <n v="0.32949533957901261"/>
  </r>
  <r>
    <s v="2024-07-08"/>
    <x v="2"/>
    <n v="987"/>
    <n v="440"/>
    <n v="389810"/>
    <n v="4.66"/>
    <n v="2932"/>
    <n v="-0.42022523793643057"/>
  </r>
  <r>
    <s v="2024-07-08"/>
    <x v="3"/>
    <n v="883"/>
    <n v="369"/>
    <n v="233694"/>
    <n v="2.88"/>
    <n v="15071"/>
    <n v="-0.32953777161587378"/>
  </r>
  <r>
    <s v="2024-07-15"/>
    <x v="0"/>
    <n v="1960"/>
    <n v="115"/>
    <n v="154169"/>
    <n v="3.74"/>
    <n v="10740"/>
    <n v="2.0733286198911585"/>
  </r>
  <r>
    <s v="2024-07-15"/>
    <x v="1"/>
    <n v="170"/>
    <n v="334"/>
    <n v="334626"/>
    <n v="6.44"/>
    <n v="43420"/>
    <n v="-0.11832314285201986"/>
  </r>
  <r>
    <s v="2024-07-15"/>
    <x v="2"/>
    <n v="704"/>
    <n v="275"/>
    <n v="226002"/>
    <n v="8.56"/>
    <n v="32393"/>
    <n v="-0.12267148078335589"/>
  </r>
  <r>
    <s v="2024-07-15"/>
    <x v="3"/>
    <n v="224"/>
    <n v="64"/>
    <n v="156683"/>
    <n v="4.5599999999999996"/>
    <n v="28474"/>
    <n v="0.95658750470695608"/>
  </r>
  <r>
    <s v="2024-07-22"/>
    <x v="0"/>
    <n v="508"/>
    <n v="349"/>
    <n v="473812"/>
    <n v="7.88"/>
    <n v="17328"/>
    <n v="-0.95005614041012043"/>
  </r>
  <r>
    <s v="2024-07-22"/>
    <x v="1"/>
    <n v="1391"/>
    <n v="430"/>
    <n v="295032"/>
    <n v="7.86"/>
    <n v="26067"/>
    <n v="0.47453157623579817"/>
  </r>
  <r>
    <s v="2024-07-22"/>
    <x v="2"/>
    <n v="1701"/>
    <n v="385"/>
    <n v="198278"/>
    <n v="5.34"/>
    <n v="32763"/>
    <n v="0.45035757875306387"/>
  </r>
  <r>
    <s v="2024-07-22"/>
    <x v="3"/>
    <n v="804"/>
    <n v="487"/>
    <n v="306564"/>
    <n v="5.52"/>
    <n v="26452"/>
    <n v="-0.7961306611343798"/>
  </r>
  <r>
    <s v="2024-07-29"/>
    <x v="0"/>
    <n v="653"/>
    <n v="112"/>
    <n v="23664"/>
    <n v="4.05"/>
    <n v="15353"/>
    <n v="17.507775524002703"/>
  </r>
  <r>
    <s v="2024-07-29"/>
    <x v="1"/>
    <n v="160"/>
    <n v="478"/>
    <n v="435034"/>
    <n v="7.73"/>
    <n v="4839"/>
    <n v="-0.71258798162902215"/>
  </r>
  <r>
    <s v="2024-07-29"/>
    <x v="2"/>
    <n v="1756"/>
    <n v="261"/>
    <n v="287574"/>
    <n v="4.3600000000000003"/>
    <n v="39272"/>
    <n v="0.56479375743286941"/>
  </r>
  <r>
    <s v="2024-07-29"/>
    <x v="3"/>
    <n v="576"/>
    <n v="101"/>
    <n v="62499"/>
    <n v="3.48"/>
    <n v="16804"/>
    <n v="4.1304820877134034"/>
  </r>
  <r>
    <s v="2024-08-05"/>
    <x v="0"/>
    <n v="645"/>
    <n v="293"/>
    <n v="437968"/>
    <n v="7.83"/>
    <n v="49303"/>
    <n v="0.11694918350199102"/>
  </r>
  <r>
    <s v="2024-08-05"/>
    <x v="1"/>
    <n v="214"/>
    <n v="411"/>
    <n v="125034"/>
    <n v="6.11"/>
    <n v="26455"/>
    <n v="1.460226818305421"/>
  </r>
  <r>
    <s v="2024-08-05"/>
    <x v="2"/>
    <n v="826"/>
    <n v="498"/>
    <n v="449994"/>
    <n v="9.43"/>
    <n v="12384"/>
    <n v="-3.3580447739303187E-2"/>
  </r>
  <r>
    <s v="2024-08-05"/>
    <x v="3"/>
    <n v="460"/>
    <n v="141"/>
    <n v="320650"/>
    <n v="4.04"/>
    <n v="49372"/>
    <n v="-0.6817651645095899"/>
  </r>
  <r>
    <s v="2024-08-12"/>
    <x v="0"/>
    <n v="1528"/>
    <n v="203"/>
    <n v="489188"/>
    <n v="6.23"/>
    <n v="47101"/>
    <n v="-0.33472611756625265"/>
  </r>
  <r>
    <s v="2024-08-12"/>
    <x v="1"/>
    <n v="1534"/>
    <n v="200"/>
    <n v="307612"/>
    <n v="6.01"/>
    <n v="37903"/>
    <n v="-0.40209094573683729"/>
  </r>
  <r>
    <s v="2024-08-12"/>
    <x v="2"/>
    <n v="485"/>
    <n v="448"/>
    <n v="434883"/>
    <n v="8.5500000000000007"/>
    <n v="33258"/>
    <n v="-0.56619366588254771"/>
  </r>
  <r>
    <s v="2024-08-12"/>
    <x v="3"/>
    <n v="1210"/>
    <n v="178"/>
    <n v="102042"/>
    <n v="5.42"/>
    <n v="6915"/>
    <n v="-0.1430685404049313"/>
  </r>
  <r>
    <s v="2024-08-19"/>
    <x v="0"/>
    <n v="215"/>
    <n v="139"/>
    <n v="325444"/>
    <n v="3.25"/>
    <n v="35501"/>
    <n v="0.39439965093841028"/>
  </r>
  <r>
    <s v="2024-08-19"/>
    <x v="1"/>
    <n v="1078"/>
    <n v="20"/>
    <n v="183924"/>
    <n v="8.84"/>
    <n v="14203"/>
    <n v="1.0626998107914138"/>
  </r>
  <r>
    <s v="2024-08-19"/>
    <x v="2"/>
    <n v="1751"/>
    <n v="86"/>
    <n v="188655"/>
    <n v="7.24"/>
    <n v="22206"/>
    <n v="-1.1666799183695105E-2"/>
  </r>
  <r>
    <s v="2024-08-19"/>
    <x v="3"/>
    <n v="221"/>
    <n v="31"/>
    <n v="87443"/>
    <n v="6.19"/>
    <n v="10283"/>
    <n v="1.7337122468350812"/>
  </r>
  <r>
    <s v="2024-08-26"/>
    <x v="0"/>
    <n v="1685"/>
    <n v="76"/>
    <n v="453799"/>
    <n v="5.71"/>
    <n v="24913"/>
    <n v="-0.77670290150485122"/>
  </r>
  <r>
    <s v="2024-08-26"/>
    <x v="1"/>
    <n v="248"/>
    <n v="211"/>
    <n v="379380"/>
    <n v="9.0399999999999991"/>
    <n v="26925"/>
    <n v="0.30998471189836047"/>
  </r>
  <r>
    <s v="2024-08-26"/>
    <x v="2"/>
    <n v="1300"/>
    <n v="71"/>
    <n v="186454"/>
    <n v="3.91"/>
    <n v="9942"/>
    <n v="0.70969247106524935"/>
  </r>
  <r>
    <s v="2024-08-26"/>
    <x v="3"/>
    <n v="422"/>
    <n v="394"/>
    <n v="239044"/>
    <n v="7.83"/>
    <n v="32929"/>
    <n v="0.55189421194424459"/>
  </r>
  <r>
    <s v="2024-09-02"/>
    <x v="0"/>
    <n v="1429"/>
    <n v="182"/>
    <n v="101332"/>
    <n v="7.16"/>
    <n v="37829"/>
    <n v="2.7308451426992462"/>
  </r>
  <r>
    <s v="2024-09-02"/>
    <x v="1"/>
    <n v="1520"/>
    <n v="475"/>
    <n v="496982"/>
    <n v="6.41"/>
    <n v="24384"/>
    <n v="-0.38121702596874735"/>
  </r>
  <r>
    <s v="2024-09-02"/>
    <x v="2"/>
    <n v="557"/>
    <n v="360"/>
    <n v="318779"/>
    <n v="8.02"/>
    <n v="25797"/>
    <n v="0.3615922002390371"/>
  </r>
  <r>
    <s v="2024-09-02"/>
    <x v="3"/>
    <n v="728"/>
    <n v="395"/>
    <n v="370971"/>
    <n v="3.86"/>
    <n v="12646"/>
    <n v="-0.82590822463211411"/>
  </r>
  <r>
    <s v="2024-09-09"/>
    <x v="0"/>
    <n v="1592"/>
    <n v="20"/>
    <n v="378054"/>
    <n v="9.09"/>
    <n v="26663"/>
    <n v="-0.86564617753019413"/>
  </r>
  <r>
    <s v="2024-09-09"/>
    <x v="1"/>
    <n v="1842"/>
    <n v="414"/>
    <n v="307524"/>
    <n v="1.76"/>
    <n v="40478"/>
    <n v="0.54186990283685177"/>
  </r>
  <r>
    <s v="2024-09-09"/>
    <x v="2"/>
    <n v="751"/>
    <n v="491"/>
    <n v="434047"/>
    <n v="9.24"/>
    <n v="15476"/>
    <n v="-9.6054113955401144E-2"/>
  </r>
  <r>
    <s v="2024-09-09"/>
    <x v="3"/>
    <n v="1409"/>
    <n v="309"/>
    <n v="64583"/>
    <n v="8.99"/>
    <n v="10217"/>
    <n v="0.85705216543053131"/>
  </r>
  <r>
    <s v="2024-09-16"/>
    <x v="0"/>
    <n v="778"/>
    <n v="401"/>
    <n v="50793"/>
    <n v="3.4"/>
    <n v="21939"/>
    <n v="7.320536294371272"/>
  </r>
  <r>
    <s v="2024-09-16"/>
    <x v="1"/>
    <n v="443"/>
    <n v="345"/>
    <n v="474162"/>
    <n v="9.1999999999999993"/>
    <n v="47462"/>
    <n v="-0.49436479515439868"/>
  </r>
  <r>
    <s v="2024-09-16"/>
    <x v="2"/>
    <n v="1472"/>
    <n v="347"/>
    <n v="392355"/>
    <n v="8.59"/>
    <n v="30270"/>
    <n v="-0.31562997795363895"/>
  </r>
  <r>
    <s v="2024-09-16"/>
    <x v="3"/>
    <n v="123"/>
    <n v="155"/>
    <n v="119934"/>
    <n v="3.5"/>
    <n v="5442"/>
    <n v="-0.47323527940367199"/>
  </r>
  <r>
    <s v="2024-09-23"/>
    <x v="0"/>
    <n v="817"/>
    <n v="151"/>
    <n v="422625"/>
    <n v="2.36"/>
    <n v="1083"/>
    <n v="-0.12388287488908607"/>
  </r>
  <r>
    <s v="2024-09-23"/>
    <x v="1"/>
    <n v="198"/>
    <n v="217"/>
    <n v="239753"/>
    <n v="7.36"/>
    <n v="11901"/>
    <n v="0.89120886912781072"/>
  </r>
  <r>
    <s v="2024-09-23"/>
    <x v="2"/>
    <n v="1911"/>
    <n v="231"/>
    <n v="268516"/>
    <n v="8.5500000000000007"/>
    <n v="24018"/>
    <n v="-0.75827883627046433"/>
  </r>
  <r>
    <s v="2024-09-23"/>
    <x v="3"/>
    <n v="1218"/>
    <n v="212"/>
    <n v="63177"/>
    <n v="8.1300000000000008"/>
    <n v="38883"/>
    <n v="0.49358152492204443"/>
  </r>
  <r>
    <s v="2024-09-30"/>
    <x v="0"/>
    <n v="1433"/>
    <n v="408"/>
    <n v="370269"/>
    <n v="3.3"/>
    <n v="30575"/>
    <n v="-0.49446753576453878"/>
  </r>
  <r>
    <s v="2024-09-30"/>
    <x v="1"/>
    <n v="250"/>
    <n v="429"/>
    <n v="453423"/>
    <n v="1.77"/>
    <n v="2315"/>
    <n v="-0.16333534028931043"/>
  </r>
  <r>
    <s v="2024-09-30"/>
    <x v="2"/>
    <n v="752"/>
    <n v="153"/>
    <n v="64906"/>
    <n v="2.09"/>
    <n v="12148"/>
    <n v="6.3411703078297847"/>
  </r>
  <r>
    <s v="2024-09-30"/>
    <x v="3"/>
    <n v="1918"/>
    <n v="212"/>
    <n v="94360"/>
    <n v="7.36"/>
    <n v="36851"/>
    <n v="0.24806061890631623"/>
  </r>
  <r>
    <s v="2024-10-07"/>
    <x v="0"/>
    <n v="1939"/>
    <n v="67"/>
    <n v="187183"/>
    <n v="6.25"/>
    <n v="41215"/>
    <n v="1.0758028239743993"/>
  </r>
  <r>
    <s v="2024-10-07"/>
    <x v="1"/>
    <n v="1929"/>
    <n v="267"/>
    <n v="379363"/>
    <n v="1.75"/>
    <n v="43836"/>
    <n v="-0.58456939659376372"/>
  </r>
  <r>
    <s v="2024-10-07"/>
    <x v="2"/>
    <n v="437"/>
    <n v="330"/>
    <n v="476486"/>
    <n v="4.97"/>
    <n v="4509"/>
    <n v="-0.34988226306754028"/>
  </r>
  <r>
    <s v="2024-10-07"/>
    <x v="3"/>
    <n v="307"/>
    <n v="189"/>
    <n v="117767"/>
    <n v="9.3000000000000007"/>
    <n v="27822"/>
    <n v="0.69128873113860423"/>
  </r>
  <r>
    <s v="2024-10-14"/>
    <x v="0"/>
    <n v="1527"/>
    <n v="303"/>
    <n v="388555"/>
    <n v="8.9"/>
    <n v="36397"/>
    <n v="-8.0982100346154343E-2"/>
  </r>
  <r>
    <s v="2024-10-14"/>
    <x v="1"/>
    <n v="643"/>
    <n v="358"/>
    <n v="157599"/>
    <n v="3.88"/>
    <n v="7285"/>
    <n v="-0.85093814047043448"/>
  </r>
  <r>
    <s v="2024-10-14"/>
    <x v="2"/>
    <n v="201"/>
    <n v="221"/>
    <n v="309772"/>
    <n v="5.9"/>
    <n v="33174"/>
    <n v="-0.16620288470229716"/>
  </r>
  <r>
    <s v="2024-10-14"/>
    <x v="3"/>
    <n v="414"/>
    <n v="47"/>
    <n v="199178"/>
    <n v="1.53"/>
    <n v="6742"/>
    <n v="0.28985128879695549"/>
  </r>
  <r>
    <s v="2024-10-21"/>
    <x v="0"/>
    <n v="703"/>
    <n v="441"/>
    <n v="357089"/>
    <n v="6.5"/>
    <n v="32478"/>
    <n v="-2.959206248302244E-2"/>
  </r>
  <r>
    <s v="2024-10-21"/>
    <x v="1"/>
    <n v="508"/>
    <n v="69"/>
    <n v="23492"/>
    <n v="3.16"/>
    <n v="42824"/>
    <n v="7.9386599693512689"/>
  </r>
  <r>
    <s v="2024-10-21"/>
    <x v="2"/>
    <n v="697"/>
    <n v="61"/>
    <n v="258287"/>
    <n v="8.25"/>
    <n v="21208"/>
    <n v="-6.867167143526387E-2"/>
  </r>
  <r>
    <s v="2024-10-21"/>
    <x v="3"/>
    <n v="1707"/>
    <n v="223"/>
    <n v="256910"/>
    <n v="5.41"/>
    <n v="44321"/>
    <n v="0.19040520026468413"/>
  </r>
  <r>
    <s v="2024-10-28"/>
    <x v="0"/>
    <n v="642"/>
    <n v="66"/>
    <n v="346522"/>
    <n v="5.85"/>
    <n v="13116"/>
    <n v="-0.84146749701317669"/>
  </r>
  <r>
    <s v="2024-10-28"/>
    <x v="1"/>
    <n v="859"/>
    <n v="473"/>
    <n v="209987"/>
    <n v="4.46"/>
    <n v="30214"/>
    <n v="0.52002743026949283"/>
  </r>
  <r>
    <s v="2024-10-28"/>
    <x v="2"/>
    <n v="191"/>
    <n v="154"/>
    <n v="240550"/>
    <n v="5.22"/>
    <n v="15827"/>
    <n v="0.82531698191644154"/>
  </r>
  <r>
    <s v="2024-10-28"/>
    <x v="3"/>
    <n v="1814"/>
    <n v="157"/>
    <n v="305827"/>
    <n v="1.99"/>
    <n v="46643"/>
    <n v="-0.15329908739254547"/>
  </r>
  <r>
    <s v="2024-11-04"/>
    <x v="0"/>
    <n v="1466"/>
    <n v="69"/>
    <n v="54935"/>
    <n v="6.85"/>
    <n v="36484"/>
    <n v="-6.4439792482024208E-2"/>
  </r>
  <r>
    <s v="2024-11-04"/>
    <x v="1"/>
    <n v="947"/>
    <n v="407"/>
    <n v="319186"/>
    <n v="3.32"/>
    <n v="4996"/>
    <n v="-3.0399202972561452E-2"/>
  </r>
  <r>
    <s v="2024-11-04"/>
    <x v="2"/>
    <n v="1821"/>
    <n v="218"/>
    <n v="439080"/>
    <n v="5.68"/>
    <n v="36095"/>
    <n v="-0.80116379703015395"/>
  </r>
  <r>
    <s v="2024-11-04"/>
    <x v="3"/>
    <n v="1507"/>
    <n v="463"/>
    <n v="258944"/>
    <n v="6.08"/>
    <n v="16443"/>
    <n v="-0.5323660714285714"/>
  </r>
  <r>
    <s v="2024-11-11"/>
    <x v="0"/>
    <n v="1075"/>
    <n v="173"/>
    <n v="51395"/>
    <n v="4.66"/>
    <n v="47812"/>
    <n v="-5.992800856114408E-3"/>
  </r>
  <r>
    <s v="2024-11-11"/>
    <x v="1"/>
    <n v="171"/>
    <n v="277"/>
    <n v="309483"/>
    <n v="8.6999999999999993"/>
    <n v="38452"/>
    <n v="9.4880817363150807E-2"/>
  </r>
  <r>
    <s v="2024-11-11"/>
    <x v="2"/>
    <n v="1487"/>
    <n v="337"/>
    <n v="87305"/>
    <n v="2.46"/>
    <n v="30428"/>
    <n v="4.5841360746807167"/>
  </r>
  <r>
    <s v="2024-11-11"/>
    <x v="3"/>
    <n v="454"/>
    <n v="105"/>
    <n v="121091"/>
    <n v="7.97"/>
    <n v="9269"/>
    <n v="1.4914733547497336"/>
  </r>
  <r>
    <s v="2024-11-18"/>
    <x v="0"/>
    <n v="187"/>
    <n v="236"/>
    <n v="51087"/>
    <n v="9.41"/>
    <n v="29533"/>
    <n v="4.5291169964961728"/>
  </r>
  <r>
    <s v="2024-11-18"/>
    <x v="1"/>
    <n v="513"/>
    <n v="441"/>
    <n v="338847"/>
    <n v="2.68"/>
    <n v="39997"/>
    <n v="-6.4512892249304257E-3"/>
  </r>
  <r>
    <s v="2024-11-18"/>
    <x v="2"/>
    <n v="628"/>
    <n v="183"/>
    <n v="487523"/>
    <n v="7.32"/>
    <n v="5391"/>
    <n v="-0.81856240628647259"/>
  </r>
  <r>
    <s v="2024-11-18"/>
    <x v="3"/>
    <n v="278"/>
    <n v="218"/>
    <n v="301695"/>
    <n v="4.68"/>
    <n v="22373"/>
    <n v="-0.7927211256401332"/>
  </r>
  <r>
    <s v="2024-11-25"/>
    <x v="0"/>
    <n v="1854"/>
    <n v="161"/>
    <n v="282466"/>
    <n v="5.17"/>
    <n v="1810"/>
    <n v="0.49383288608186471"/>
  </r>
  <r>
    <s v="2024-11-25"/>
    <x v="1"/>
    <n v="1710"/>
    <n v="378"/>
    <n v="336661"/>
    <n v="6.2"/>
    <n v="28498"/>
    <n v="0.39686212540211074"/>
  </r>
  <r>
    <s v="2024-11-25"/>
    <x v="2"/>
    <n v="330"/>
    <n v="232"/>
    <n v="88455"/>
    <n v="2.69"/>
    <n v="39530"/>
    <n v="2.5035215646373863"/>
  </r>
  <r>
    <s v="2024-11-25"/>
    <x v="3"/>
    <n v="1293"/>
    <n v="408"/>
    <n v="62535"/>
    <n v="8.9"/>
    <n v="37876"/>
    <n v="2.5384024946030221"/>
  </r>
  <r>
    <s v="2024-12-02"/>
    <x v="0"/>
    <n v="1696"/>
    <n v="71"/>
    <n v="421957"/>
    <n v="3.79"/>
    <n v="36103"/>
    <n v="-0.47715999497579137"/>
  </r>
  <r>
    <s v="2024-12-02"/>
    <x v="1"/>
    <n v="1902"/>
    <n v="196"/>
    <n v="470269"/>
    <n v="4.79"/>
    <n v="26103"/>
    <n v="-0.92378404700288563"/>
  </r>
  <r>
    <s v="2024-12-02"/>
    <x v="2"/>
    <n v="1441"/>
    <n v="268"/>
    <n v="309904"/>
    <n v="6.37"/>
    <n v="3455"/>
    <n v="-0.93350521451804425"/>
  </r>
  <r>
    <s v="2024-12-02"/>
    <x v="3"/>
    <n v="452"/>
    <n v="161"/>
    <n v="221274"/>
    <n v="2.65"/>
    <n v="40888"/>
    <n v="1.0422372262443849"/>
  </r>
  <r>
    <s v="2024-12-09"/>
    <x v="0"/>
    <n v="1494"/>
    <n v="375"/>
    <n v="220616"/>
    <n v="1.81"/>
    <n v="22724"/>
    <n v="1.1102413242919824"/>
  </r>
  <r>
    <s v="2024-12-09"/>
    <x v="1"/>
    <n v="1514"/>
    <n v="141"/>
    <n v="35842"/>
    <n v="7.47"/>
    <n v="18601"/>
    <n v="10.601333630935773"/>
  </r>
  <r>
    <s v="2024-12-09"/>
    <x v="2"/>
    <n v="1937"/>
    <n v="210"/>
    <n v="20607"/>
    <n v="4.2"/>
    <n v="20861"/>
    <n v="14.877274712476343"/>
  </r>
  <r>
    <s v="2024-12-09"/>
    <x v="3"/>
    <n v="736"/>
    <n v="163"/>
    <n v="451894"/>
    <n v="5.43"/>
    <n v="46625"/>
    <n v="8.1893098824060512E-2"/>
  </r>
  <r>
    <s v="2024-12-16"/>
    <x v="0"/>
    <n v="1502"/>
    <n v="70"/>
    <n v="465553"/>
    <n v="3.32"/>
    <n v="20692"/>
    <n v="-0.39685707105313467"/>
  </r>
  <r>
    <s v="2024-12-16"/>
    <x v="1"/>
    <n v="1623"/>
    <n v="246"/>
    <n v="415815"/>
    <n v="8.11"/>
    <n v="18656"/>
    <n v="-0.77550833904500804"/>
  </r>
  <r>
    <s v="2024-12-16"/>
    <x v="2"/>
    <n v="1592"/>
    <n v="233"/>
    <n v="327183"/>
    <n v="6.66"/>
    <n v="13316"/>
    <n v="-0.75206841431247951"/>
  </r>
  <r>
    <s v="2024-12-16"/>
    <x v="3"/>
    <n v="1004"/>
    <n v="128"/>
    <n v="488901"/>
    <n v="8.09"/>
    <n v="49558"/>
    <n v="-0.94850286663353112"/>
  </r>
  <r>
    <s v="2024-12-23"/>
    <x v="0"/>
    <n v="1092"/>
    <n v="408"/>
    <n v="280795"/>
    <n v="8.44"/>
    <n v="4683"/>
    <n v="-0.49855232464965543"/>
  </r>
  <r>
    <s v="2024-12-23"/>
    <x v="1"/>
    <n v="1155"/>
    <n v="425"/>
    <n v="93347"/>
    <n v="2.02"/>
    <n v="47502"/>
    <n v="3.0647369492324339"/>
  </r>
  <r>
    <s v="2024-12-23"/>
    <x v="2"/>
    <n v="1137"/>
    <n v="226"/>
    <n v="81119"/>
    <n v="7.74"/>
    <n v="35359"/>
    <n v="2.3879978796582799"/>
  </r>
  <r>
    <s v="2024-12-23"/>
    <x v="3"/>
    <n v="1900"/>
    <n v="311"/>
    <n v="25177"/>
    <n v="2.89"/>
    <n v="14154"/>
    <n v="4.435317948921635"/>
  </r>
  <r>
    <s v="2024-12-30"/>
    <x v="0"/>
    <n v="1814"/>
    <n v="49"/>
    <n v="140804"/>
    <n v="1.76"/>
    <n v="4313"/>
    <n v="2.3122780602823783"/>
  </r>
  <r>
    <s v="2024-12-30"/>
    <x v="1"/>
    <n v="1980"/>
    <n v="204"/>
    <n v="379431"/>
    <n v="3.09"/>
    <n v="25140"/>
    <n v="-0.74770643410791426"/>
  </r>
  <r>
    <s v="2024-12-30"/>
    <x v="2"/>
    <n v="1786"/>
    <n v="257"/>
    <n v="274831"/>
    <n v="4.68"/>
    <n v="9118"/>
    <n v="0.35048811815261016"/>
  </r>
  <r>
    <s v="2024-12-30"/>
    <x v="3"/>
    <n v="1495"/>
    <n v="35"/>
    <n v="136845"/>
    <n v="4.4800000000000004"/>
    <n v="39931"/>
    <n v="-0.3027878256421499"/>
  </r>
  <r>
    <s v="2025-01-06"/>
    <x v="0"/>
    <n v="1013"/>
    <n v="110"/>
    <n v="466382"/>
    <n v="5.3"/>
    <n v="37132"/>
    <n v="-0.25080084565870897"/>
  </r>
  <r>
    <s v="2025-01-06"/>
    <x v="1"/>
    <n v="816"/>
    <n v="196"/>
    <n v="95728"/>
    <n v="8.1999999999999993"/>
    <n v="17951"/>
    <n v="1.3472651679759318"/>
  </r>
  <r>
    <s v="2025-01-06"/>
    <x v="2"/>
    <n v="1633"/>
    <n v="445"/>
    <n v="371156"/>
    <n v="2.2200000000000002"/>
    <n v="2798"/>
    <n v="0.3145308172304907"/>
  </r>
  <r>
    <s v="2025-01-06"/>
    <x v="3"/>
    <n v="891"/>
    <n v="45"/>
    <n v="95410"/>
    <n v="8.33"/>
    <n v="15045"/>
    <n v="-0.84868462425322289"/>
  </r>
  <r>
    <s v="2025-01-13"/>
    <x v="0"/>
    <n v="1855"/>
    <n v="133"/>
    <n v="349413"/>
    <n v="3.3"/>
    <n v="14548"/>
    <n v="9.8073053950482672E-2"/>
  </r>
  <r>
    <s v="2025-01-13"/>
    <x v="1"/>
    <n v="651"/>
    <n v="353"/>
    <n v="224699"/>
    <n v="5.61"/>
    <n v="45708"/>
    <n v="1.1339213792673755"/>
  </r>
  <r>
    <s v="2025-01-13"/>
    <x v="2"/>
    <n v="118"/>
    <n v="262"/>
    <n v="487896"/>
    <n v="2.56"/>
    <n v="12350"/>
    <n v="-0.74501943037040685"/>
  </r>
  <r>
    <s v="2025-01-13"/>
    <x v="3"/>
    <n v="1331"/>
    <n v="430"/>
    <n v="14437"/>
    <n v="3.29"/>
    <n v="40868"/>
    <n v="22.339267160767474"/>
  </r>
  <r>
    <s v="2025-01-20"/>
    <x v="0"/>
    <n v="1748"/>
    <n v="176"/>
    <n v="383681"/>
    <n v="9.24"/>
    <n v="43122"/>
    <n v="-6.8848861423943322E-2"/>
  </r>
  <r>
    <s v="2025-01-20"/>
    <x v="1"/>
    <n v="663"/>
    <n v="236"/>
    <n v="479490"/>
    <n v="4.51"/>
    <n v="23853"/>
    <n v="-0.32989843375252875"/>
  </r>
  <r>
    <s v="2025-01-20"/>
    <x v="2"/>
    <n v="1040"/>
    <n v="149"/>
    <n v="124404"/>
    <n v="5.23"/>
    <n v="45380"/>
    <n v="1.1106154142953604"/>
  </r>
  <r>
    <s v="2025-01-20"/>
    <x v="3"/>
    <n v="1166"/>
    <n v="442"/>
    <n v="336949"/>
    <n v="4.68"/>
    <n v="7705"/>
    <n v="0.37014503678598243"/>
  </r>
  <r>
    <s v="2025-01-27"/>
    <x v="0"/>
    <n v="115"/>
    <n v="281"/>
    <n v="357265"/>
    <n v="9.23"/>
    <n v="25525"/>
    <n v="-1.5979734930653716E-2"/>
  </r>
  <r>
    <s v="2025-01-27"/>
    <x v="1"/>
    <n v="1249"/>
    <n v="351"/>
    <n v="321307"/>
    <n v="6.37"/>
    <n v="20560"/>
    <n v="-0.57676925806160462"/>
  </r>
  <r>
    <s v="2025-01-27"/>
    <x v="2"/>
    <n v="1501"/>
    <n v="75"/>
    <n v="262569"/>
    <n v="2.0099999999999998"/>
    <n v="19119"/>
    <n v="-0.32378155837132333"/>
  </r>
  <r>
    <s v="2025-01-27"/>
    <x v="3"/>
    <n v="1411"/>
    <n v="186"/>
    <n v="461669"/>
    <n v="3.72"/>
    <n v="43999"/>
    <n v="-0.41350621332599763"/>
  </r>
  <r>
    <s v="2025-02-03"/>
    <x v="0"/>
    <n v="1556"/>
    <n v="476"/>
    <n v="351556"/>
    <n v="3.89"/>
    <n v="10825"/>
    <n v="-0.36816325137389205"/>
  </r>
  <r>
    <s v="2025-02-03"/>
    <x v="1"/>
    <n v="1159"/>
    <n v="411"/>
    <n v="135987"/>
    <n v="8.6999999999999993"/>
    <n v="40323"/>
    <n v="1.2789972570907513"/>
  </r>
  <r>
    <s v="2025-02-03"/>
    <x v="2"/>
    <n v="927"/>
    <n v="358"/>
    <n v="177554"/>
    <n v="6.95"/>
    <n v="48270"/>
    <n v="-0.28707886051567411"/>
  </r>
  <r>
    <s v="2025-02-03"/>
    <x v="3"/>
    <n v="152"/>
    <n v="355"/>
    <n v="270766"/>
    <n v="9.48"/>
    <n v="18001"/>
    <n v="0.79224865751239082"/>
  </r>
  <r>
    <s v="2025-02-10"/>
    <x v="0"/>
    <n v="1957"/>
    <n v="234"/>
    <n v="222126"/>
    <n v="4.6100000000000003"/>
    <n v="3314"/>
    <n v="1.0404770265524972"/>
  </r>
  <r>
    <s v="2025-02-10"/>
    <x v="1"/>
    <n v="1294"/>
    <n v="382"/>
    <n v="309914"/>
    <n v="8.0299999999999994"/>
    <n v="23489"/>
    <n v="-0.66130281303845584"/>
  </r>
  <r>
    <s v="2025-02-10"/>
    <x v="2"/>
    <n v="1587"/>
    <n v="385"/>
    <n v="126582"/>
    <n v="6.99"/>
    <n v="42832"/>
    <n v="0.15030573067260747"/>
  </r>
  <r>
    <s v="2025-02-10"/>
    <x v="3"/>
    <n v="1707"/>
    <n v="263"/>
    <n v="485280"/>
    <n v="9.0299999999999994"/>
    <n v="24494"/>
    <n v="-0.7816106165512694"/>
  </r>
  <r>
    <s v="2025-02-17"/>
    <x v="0"/>
    <n v="1138"/>
    <n v="173"/>
    <n v="453243"/>
    <n v="2.86"/>
    <n v="44097"/>
    <n v="-0.72084731589897688"/>
  </r>
  <r>
    <s v="2025-02-17"/>
    <x v="1"/>
    <n v="1895"/>
    <n v="305"/>
    <n v="104967"/>
    <n v="3.85"/>
    <n v="31853"/>
    <n v="1.1954328503243876"/>
  </r>
  <r>
    <s v="2025-02-17"/>
    <x v="2"/>
    <n v="362"/>
    <n v="399"/>
    <n v="145608"/>
    <n v="7.3"/>
    <n v="37636"/>
    <n v="1.177126256799077"/>
  </r>
  <r>
    <s v="2025-02-17"/>
    <x v="3"/>
    <n v="1662"/>
    <n v="487"/>
    <n v="105980"/>
    <n v="9.08"/>
    <n v="22996"/>
    <n v="3.380439705604831"/>
  </r>
  <r>
    <s v="2025-02-24"/>
    <x v="0"/>
    <n v="1440"/>
    <n v="65"/>
    <n v="126524"/>
    <n v="4.34"/>
    <n v="49772"/>
    <n v="1.0358113875628339"/>
  </r>
  <r>
    <s v="2025-02-24"/>
    <x v="1"/>
    <n v="1884"/>
    <n v="177"/>
    <n v="230448"/>
    <n v="7.8"/>
    <n v="22713"/>
    <n v="0.59203377768520449"/>
  </r>
  <r>
    <s v="2025-02-24"/>
    <x v="2"/>
    <n v="861"/>
    <n v="153"/>
    <n v="317007"/>
    <n v="3.85"/>
    <n v="8718"/>
    <n v="0.47181292526663449"/>
  </r>
  <r>
    <s v="2025-02-24"/>
    <x v="3"/>
    <n v="1063"/>
    <n v="47"/>
    <n v="464239"/>
    <n v="6.58"/>
    <n v="39031"/>
    <n v="-0.51633964401956756"/>
  </r>
  <r>
    <s v="2025-03-03"/>
    <x v="0"/>
    <n v="1371"/>
    <n v="56"/>
    <n v="257579"/>
    <n v="8.6199999999999992"/>
    <n v="33799"/>
    <n v="0.79417576743445695"/>
  </r>
  <r>
    <s v="2025-03-03"/>
    <x v="1"/>
    <n v="345"/>
    <n v="464"/>
    <n v="366881"/>
    <n v="4.55"/>
    <n v="20553"/>
    <n v="-7.0973967035632801E-2"/>
  </r>
  <r>
    <s v="2025-03-03"/>
    <x v="2"/>
    <n v="946"/>
    <n v="47"/>
    <n v="466575"/>
    <n v="8.33"/>
    <n v="10002"/>
    <n v="-0.97327117826715959"/>
  </r>
  <r>
    <s v="2025-03-03"/>
    <x v="3"/>
    <n v="510"/>
    <n v="195"/>
    <n v="224534"/>
    <n v="9.4"/>
    <n v="30987"/>
    <n v="-0.56177238191098011"/>
  </r>
  <r>
    <s v="2025-03-10"/>
    <x v="0"/>
    <n v="393"/>
    <n v="181"/>
    <n v="462142"/>
    <n v="7.23"/>
    <n v="6296"/>
    <n v="-0.11211272725699027"/>
  </r>
  <r>
    <s v="2025-03-10"/>
    <x v="1"/>
    <n v="1098"/>
    <n v="190"/>
    <n v="340842"/>
    <n v="9.39"/>
    <n v="21539"/>
    <n v="3.7759431056031828E-3"/>
  </r>
  <r>
    <s v="2025-03-10"/>
    <x v="2"/>
    <n v="1399"/>
    <n v="49"/>
    <n v="12471"/>
    <n v="5.12"/>
    <n v="14722"/>
    <n v="-1.9244647582391148E-3"/>
  </r>
  <r>
    <s v="2025-03-10"/>
    <x v="3"/>
    <n v="1658"/>
    <n v="416"/>
    <n v="98397"/>
    <n v="6.11"/>
    <n v="11383"/>
    <n v="-0.82336859863613732"/>
  </r>
  <r>
    <s v="2025-03-17"/>
    <x v="0"/>
    <n v="1102"/>
    <n v="422"/>
    <n v="410330"/>
    <n v="7.74"/>
    <n v="9480"/>
    <n v="-0.11093510101625521"/>
  </r>
  <r>
    <s v="2025-03-17"/>
    <x v="1"/>
    <n v="1358"/>
    <n v="242"/>
    <n v="342129"/>
    <n v="4.9400000000000004"/>
    <n v="29116"/>
    <n v="9.2003308693504496E-2"/>
  </r>
  <r>
    <s v="2025-03-17"/>
    <x v="2"/>
    <n v="1077"/>
    <n v="216"/>
    <n v="12447"/>
    <n v="1.8"/>
    <n v="14068"/>
    <n v="15.959106612035029"/>
  </r>
  <r>
    <s v="2025-03-17"/>
    <x v="3"/>
    <n v="1596"/>
    <n v="211"/>
    <n v="17380"/>
    <n v="8.64"/>
    <n v="35801"/>
    <n v="24.427560414269276"/>
  </r>
  <r>
    <s v="2025-03-24"/>
    <x v="0"/>
    <n v="490"/>
    <n v="29"/>
    <n v="364810"/>
    <n v="1.53"/>
    <n v="49077"/>
    <n v="-0.22485677475946383"/>
  </r>
  <r>
    <s v="2025-03-24"/>
    <x v="1"/>
    <n v="609"/>
    <n v="135"/>
    <n v="373606"/>
    <n v="8.52"/>
    <n v="21453"/>
    <n v="-9.4645160944952702E-3"/>
  </r>
  <r>
    <s v="2025-03-24"/>
    <x v="2"/>
    <n v="364"/>
    <n v="72"/>
    <n v="211090"/>
    <n v="5.53"/>
    <n v="21061"/>
    <n v="-6.0353403761428774E-2"/>
  </r>
  <r>
    <s v="2025-03-24"/>
    <x v="3"/>
    <n v="442"/>
    <n v="53"/>
    <n v="441931"/>
    <n v="1.87"/>
    <n v="20059"/>
    <n v="-1.4040653405169586E-2"/>
  </r>
  <r>
    <s v="2025-03-31"/>
    <x v="0"/>
    <n v="1033"/>
    <n v="392"/>
    <n v="282780"/>
    <n v="6.27"/>
    <n v="23140"/>
    <n v="-0.72137704222363674"/>
  </r>
  <r>
    <s v="2025-03-31"/>
    <x v="1"/>
    <n v="988"/>
    <n v="474"/>
    <n v="370070"/>
    <n v="9.4600000000000009"/>
    <n v="23461"/>
    <n v="-0.73357472910530441"/>
  </r>
  <r>
    <s v="2025-03-31"/>
    <x v="2"/>
    <n v="1946"/>
    <n v="270"/>
    <n v="198350"/>
    <n v="7.5"/>
    <n v="11805"/>
    <n v="-0.8508243004789513"/>
  </r>
  <r>
    <s v="2025-03-31"/>
    <x v="3"/>
    <n v="1957"/>
    <n v="490"/>
    <n v="435726"/>
    <n v="4.7300000000000004"/>
    <n v="15969"/>
    <n v="-0.33363168596778708"/>
  </r>
  <r>
    <s v="2025-04-07"/>
    <x v="0"/>
    <n v="559"/>
    <n v="392"/>
    <n v="78789"/>
    <n v="3.19"/>
    <n v="2436"/>
    <n v="-0.15366358247978779"/>
  </r>
  <r>
    <s v="2025-04-07"/>
    <x v="1"/>
    <n v="1307"/>
    <n v="278"/>
    <n v="98596"/>
    <n v="2.4900000000000002"/>
    <n v="47603"/>
    <n v="-0.28286137368655928"/>
  </r>
  <r>
    <s v="2025-04-07"/>
    <x v="2"/>
    <n v="1432"/>
    <n v="425"/>
    <n v="29589"/>
    <n v="4.5"/>
    <n v="42964"/>
    <n v="3.8162154854844705"/>
  </r>
  <r>
    <s v="2025-04-07"/>
    <x v="3"/>
    <n v="623"/>
    <n v="414"/>
    <n v="290354"/>
    <n v="6.49"/>
    <n v="39923"/>
    <n v="0.27267060209261795"/>
  </r>
  <r>
    <s v="2025-04-14"/>
    <x v="0"/>
    <n v="198"/>
    <n v="358"/>
    <n v="66682"/>
    <n v="6.73"/>
    <n v="2293"/>
    <n v="-5.6087099967007586E-2"/>
  </r>
  <r>
    <s v="2025-04-14"/>
    <x v="1"/>
    <n v="198"/>
    <n v="373"/>
    <n v="70707"/>
    <n v="4.83"/>
    <n v="25920"/>
    <n v="4.3372650515507658"/>
  </r>
  <r>
    <s v="2025-04-14"/>
    <x v="2"/>
    <n v="353"/>
    <n v="300"/>
    <n v="142507"/>
    <n v="5.3"/>
    <n v="11035"/>
    <n v="1.3426989551390458"/>
  </r>
  <r>
    <s v="2025-04-14"/>
    <x v="3"/>
    <n v="520"/>
    <n v="375"/>
    <n v="369525"/>
    <n v="6.54"/>
    <n v="20733"/>
    <n v="-0.26673973344158042"/>
  </r>
  <r>
    <s v="2025-04-21"/>
    <x v="0"/>
    <n v="961"/>
    <n v="358"/>
    <n v="62942"/>
    <n v="6.8"/>
    <n v="18693"/>
    <n v="6.0849988878650185"/>
  </r>
  <r>
    <s v="2025-04-21"/>
    <x v="1"/>
    <n v="1375"/>
    <n v="330"/>
    <n v="377382"/>
    <n v="2.6"/>
    <n v="7875"/>
    <n v="-0.40423761599652341"/>
  </r>
  <r>
    <s v="2025-04-21"/>
    <x v="2"/>
    <n v="1147"/>
    <n v="388"/>
    <n v="333851"/>
    <n v="2.44"/>
    <n v="8471"/>
    <n v="0.45960024082599721"/>
  </r>
  <r>
    <s v="2025-04-21"/>
    <x v="3"/>
    <n v="1707"/>
    <n v="74"/>
    <n v="270958"/>
    <n v="3.09"/>
    <n v="14090"/>
    <n v="-0.95779788749547901"/>
  </r>
  <r>
    <s v="2025-04-28"/>
    <x v="0"/>
    <n v="1693"/>
    <n v="154"/>
    <n v="445944"/>
    <n v="5.69"/>
    <n v="14216"/>
    <n v="4.3906858260229983E-3"/>
  </r>
  <r>
    <s v="2025-04-28"/>
    <x v="1"/>
    <n v="833"/>
    <n v="380"/>
    <n v="224830"/>
    <n v="3.86"/>
    <n v="3582"/>
    <n v="0.86227816572521465"/>
  </r>
  <r>
    <s v="2025-04-28"/>
    <x v="2"/>
    <n v="1222"/>
    <n v="274"/>
    <n v="487289"/>
    <n v="3.16"/>
    <n v="32500"/>
    <n v="-6.0025980475652023E-3"/>
  </r>
  <r>
    <s v="2025-04-28"/>
    <x v="3"/>
    <n v="777"/>
    <n v="140"/>
    <n v="11435"/>
    <n v="1.6"/>
    <n v="6832"/>
    <n v="11.984433756012242"/>
  </r>
  <r>
    <s v="2025-05-05"/>
    <x v="0"/>
    <n v="1957"/>
    <n v="76"/>
    <n v="447902"/>
    <n v="6.09"/>
    <n v="33381"/>
    <n v="4.554344477140089E-2"/>
  </r>
  <r>
    <s v="2025-05-05"/>
    <x v="1"/>
    <n v="405"/>
    <n v="66"/>
    <n v="418696"/>
    <n v="5.59"/>
    <n v="48419"/>
    <n v="-0.12867569788104019"/>
  </r>
  <r>
    <s v="2025-05-05"/>
    <x v="2"/>
    <n v="1581"/>
    <n v="71"/>
    <n v="484364"/>
    <n v="3.55"/>
    <n v="16149"/>
    <n v="-5.7944025567548373E-2"/>
  </r>
  <r>
    <s v="2025-05-05"/>
    <x v="3"/>
    <n v="1035"/>
    <n v="171"/>
    <n v="148477"/>
    <n v="5.21"/>
    <n v="7541"/>
    <n v="-0.44396775258120785"/>
  </r>
  <r>
    <s v="2025-05-12"/>
    <x v="0"/>
    <n v="1765"/>
    <n v="109"/>
    <n v="468301"/>
    <n v="1.82"/>
    <n v="20042"/>
    <n v="-1"/>
  </r>
  <r>
    <s v="2025-05-12"/>
    <x v="1"/>
    <n v="837"/>
    <n v="430"/>
    <n v="364820"/>
    <n v="4"/>
    <n v="49400"/>
    <n v="-1"/>
  </r>
  <r>
    <s v="2025-05-12"/>
    <x v="2"/>
    <n v="337"/>
    <n v="68"/>
    <n v="456298"/>
    <n v="7.57"/>
    <n v="4007"/>
    <n v="-1"/>
  </r>
  <r>
    <s v="2025-05-12"/>
    <x v="3"/>
    <n v="119"/>
    <n v="456"/>
    <n v="82558"/>
    <n v="6.81"/>
    <n v="12174"/>
    <n v="-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">
  <r>
    <s v="P001"/>
    <s v="Twitter"/>
    <x v="0"/>
    <s v="Reel"/>
    <s v="Check out our latest reel on twitter!"/>
    <x v="0"/>
    <n v="184"/>
    <n v="344"/>
    <n v="21915"/>
    <n v="21675"/>
    <n v="15"/>
    <s v="#FutureOfDriving,#AnytimeIsTeslaTime"/>
    <s v="CybertruckLaunch"/>
    <n v="1989"/>
  </r>
  <r>
    <s v="P005"/>
    <s v="YouTube"/>
    <x v="1"/>
    <s v="Reel"/>
    <s v="Check out our latest reel on youtube!"/>
    <x v="1"/>
    <n v="687"/>
    <n v="424"/>
    <n v="71140"/>
    <n v="70701"/>
    <n v="224"/>
    <s v="#EVRevolution,#TeslaCoInnovation"/>
    <s v="CybertruckLaunch"/>
    <n v="4668"/>
  </r>
  <r>
    <s v="P013"/>
    <s v="YouTube"/>
    <x v="2"/>
    <s v="Carousel"/>
    <s v="Check out our latest carousel on youtube!"/>
    <x v="2"/>
    <n v="286"/>
    <n v="231"/>
    <n v="22249"/>
    <n v="21282"/>
    <n v="114"/>
    <s v="#EVRevolution"/>
    <s v="CybertruckLaunch"/>
    <n v="1688"/>
  </r>
  <r>
    <s v="P015"/>
    <s v="Facebook"/>
    <x v="3"/>
    <s v="Video"/>
    <s v="Check out our latest video on facebook!"/>
    <x v="3"/>
    <n v="604"/>
    <n v="128"/>
    <n v="77760"/>
    <n v="77167"/>
    <n v="20"/>
    <s v="#FutureOfDriving"/>
    <s v="CybertruckLaunch"/>
    <n v="4620"/>
  </r>
  <r>
    <s v="P018"/>
    <s v="Instagram"/>
    <x v="4"/>
    <s v="Reel"/>
    <s v="Check out our latest reel on instagram!"/>
    <x v="4"/>
    <n v="382"/>
    <n v="325"/>
    <n v="36000"/>
    <n v="35819"/>
    <n v="19"/>
    <s v="#FutureOfDriving"/>
    <s v="CybertruckLaunch"/>
    <n v="3707"/>
  </r>
  <r>
    <s v="P020"/>
    <s v="Instagram"/>
    <x v="5"/>
    <s v="Carousel"/>
    <s v="Check out our latest carousel on instagram!"/>
    <x v="5"/>
    <n v="488"/>
    <n v="373"/>
    <n v="77026"/>
    <n v="76881"/>
    <n v="25"/>
    <s v="#TeslaCoInnovation"/>
    <s v="CybertruckLaunch"/>
    <n v="4915"/>
  </r>
  <r>
    <s v="P032"/>
    <s v="Twitter"/>
    <x v="6"/>
    <s v="Carousel"/>
    <s v="Check out our latest carousel on twitter!"/>
    <x v="6"/>
    <n v="10"/>
    <n v="321"/>
    <n v="13668"/>
    <n v="12676"/>
    <n v="275"/>
    <s v="#EVRevolution"/>
    <s v="CybertruckLaunch"/>
    <n v="2609"/>
  </r>
  <r>
    <s v="P033"/>
    <s v="Facebook"/>
    <x v="7"/>
    <s v="Image"/>
    <s v="Check out our latest image on facebook!"/>
    <x v="7"/>
    <n v="400"/>
    <n v="351"/>
    <n v="16884"/>
    <n v="15954"/>
    <n v="113"/>
    <s v="#TeslaCoInnovation"/>
    <s v="CybertruckLaunch"/>
    <n v="2158"/>
  </r>
  <r>
    <s v="P045"/>
    <s v="Facebook"/>
    <x v="8"/>
    <s v="Video"/>
    <s v="Check out our latest video on facebook!"/>
    <x v="8"/>
    <n v="106"/>
    <n v="327"/>
    <n v="50565"/>
    <n v="49816"/>
    <n v="176"/>
    <s v="#FutureOfDriving"/>
    <s v="CybertruckLaunch"/>
    <n v="3804"/>
  </r>
  <r>
    <s v="P057"/>
    <s v="Twitter"/>
    <x v="9"/>
    <s v="Video"/>
    <s v="Check out our latest video on twitter!"/>
    <x v="9"/>
    <n v="535"/>
    <n v="295"/>
    <n v="45200"/>
    <n v="44739"/>
    <n v="169"/>
    <s v="#TeslaCoInnovation"/>
    <s v="CybertruckLaunch"/>
    <n v="3655"/>
  </r>
  <r>
    <s v="P061"/>
    <s v="Twitter"/>
    <x v="10"/>
    <s v="Video"/>
    <s v="Check out our latest video on twitter!"/>
    <x v="10"/>
    <n v="983"/>
    <n v="409"/>
    <n v="43974"/>
    <n v="43239"/>
    <n v="65"/>
    <s v="#TeslaCoInnovation"/>
    <s v="CybertruckLaunch"/>
    <n v="6278"/>
  </r>
  <r>
    <s v="P066"/>
    <s v="Twitter"/>
    <x v="11"/>
    <s v="Carousel"/>
    <s v="Check out our latest carousel on twitter!"/>
    <x v="11"/>
    <n v="171"/>
    <n v="280"/>
    <n v="3024"/>
    <n v="2285"/>
    <n v="184"/>
    <s v="#EVRevolution"/>
    <s v="CybertruckLaunch"/>
    <n v="883"/>
  </r>
  <r>
    <s v="P085"/>
    <s v="Instagram"/>
    <x v="12"/>
    <s v="Image"/>
    <s v="Check out our latest image on instagram!"/>
    <x v="12"/>
    <n v="569"/>
    <n v="55"/>
    <n v="25062"/>
    <n v="24847"/>
    <n v="230"/>
    <s v="#FutureOfDriving"/>
    <s v="CybertruckLaunch"/>
    <n v="4801"/>
  </r>
  <r>
    <s v="P105"/>
    <s v="Instagram"/>
    <x v="13"/>
    <s v="Carousel"/>
    <s v="Check out our latest carousel on instagram!"/>
    <x v="13"/>
    <n v="38"/>
    <n v="42"/>
    <n v="4482"/>
    <n v="3647"/>
    <n v="32"/>
    <s v="#FutureOfDriving"/>
    <s v="CybertruckLaunch"/>
    <n v="578"/>
  </r>
  <r>
    <s v="P113"/>
    <s v="Twitter"/>
    <x v="14"/>
    <s v="Carousel"/>
    <s v="Check out our latest carousel on twitter!"/>
    <x v="14"/>
    <n v="236"/>
    <n v="369"/>
    <n v="44190"/>
    <n v="43582"/>
    <n v="10"/>
    <s v="#EVRevolution"/>
    <s v="CybertruckLaunch"/>
    <n v="5024"/>
  </r>
  <r>
    <s v="P114"/>
    <s v="Twitter"/>
    <x v="15"/>
    <s v="Story"/>
    <s v="Check out our latest story on twitter!"/>
    <x v="15"/>
    <n v="689"/>
    <n v="488"/>
    <n v="40000"/>
    <n v="39569"/>
    <n v="44"/>
    <s v="#FutureOfDriving"/>
    <s v="CybertruckLaunch"/>
    <n v="5177"/>
  </r>
  <r>
    <s v="P123"/>
    <s v="Instagram"/>
    <x v="13"/>
    <s v="Story"/>
    <s v="Check out our latest story on instagram!"/>
    <x v="16"/>
    <n v="649"/>
    <n v="140"/>
    <n v="21815"/>
    <n v="21481"/>
    <n v="157"/>
    <s v="#EVRevolution"/>
    <s v="CybertruckLaunch"/>
    <n v="5152"/>
  </r>
  <r>
    <s v="P124"/>
    <s v="YouTube"/>
    <x v="16"/>
    <s v="Carousel"/>
    <s v="Check out our latest carousel on youtube!"/>
    <x v="17"/>
    <n v="771"/>
    <n v="225"/>
    <n v="5152"/>
    <n v="4706"/>
    <n v="19"/>
    <s v="#EVRevolution"/>
    <s v="CybertruckLaunch"/>
    <n v="1732"/>
  </r>
  <r>
    <s v="P134"/>
    <s v="Twitter"/>
    <x v="17"/>
    <s v="Reel"/>
    <s v="Check out our latest reel on twitter!"/>
    <x v="18"/>
    <n v="115"/>
    <n v="135"/>
    <n v="55965"/>
    <n v="55436"/>
    <n v="103"/>
    <s v="#TeslaCoInnovation"/>
    <s v="CybertruckLaunch"/>
    <n v="3981"/>
  </r>
  <r>
    <s v="P139"/>
    <s v="YouTube"/>
    <x v="18"/>
    <s v="Text"/>
    <s v="Check out our latest text on youtube!"/>
    <x v="19"/>
    <n v="156"/>
    <n v="203"/>
    <n v="32952"/>
    <n v="32147"/>
    <n v="147"/>
    <s v="#EVRevolution"/>
    <s v="CybertruckLaunch"/>
    <n v="3105"/>
  </r>
  <r>
    <s v="P149"/>
    <s v="Twitter"/>
    <x v="19"/>
    <s v="Video"/>
    <s v="Check out our latest video on twitter!"/>
    <x v="20"/>
    <n v="750"/>
    <n v="179"/>
    <n v="34040"/>
    <n v="33174"/>
    <n v="76"/>
    <s v="#EVRevolution"/>
    <s v="CybertruckLaunch"/>
    <n v="2631"/>
  </r>
  <r>
    <s v="P151"/>
    <s v="Instagram"/>
    <x v="11"/>
    <s v="Image"/>
    <s v="Check out our latest image on instagram!"/>
    <x v="21"/>
    <n v="59"/>
    <n v="289"/>
    <n v="35590"/>
    <n v="35105"/>
    <n v="122"/>
    <s v="#EVRevolution"/>
    <s v="CybertruckLaunch"/>
    <n v="3907"/>
  </r>
  <r>
    <s v="P158"/>
    <s v="Instagram"/>
    <x v="20"/>
    <s v="Story"/>
    <s v="Check out our latest story on instagram!"/>
    <x v="22"/>
    <n v="405"/>
    <n v="423"/>
    <n v="22906"/>
    <n v="21925"/>
    <n v="25"/>
    <s v="#TeslaCoInnovation"/>
    <s v="CybertruckLaunch"/>
    <n v="2590"/>
  </r>
  <r>
    <s v="P166"/>
    <s v="Twitter"/>
    <x v="21"/>
    <s v="Reel"/>
    <s v="Check out our latest reel on twitter!"/>
    <x v="23"/>
    <n v="313"/>
    <n v="306"/>
    <n v="11836"/>
    <n v="11596"/>
    <n v="104"/>
    <s v="#FutureOfDriving"/>
    <s v="CybertruckLaunch"/>
    <n v="1695"/>
  </r>
  <r>
    <s v="P168"/>
    <s v="Facebook"/>
    <x v="22"/>
    <s v="Text"/>
    <s v="Check out our latest text on facebook!"/>
    <x v="24"/>
    <n v="754"/>
    <n v="54"/>
    <n v="43524"/>
    <n v="42743"/>
    <n v="182"/>
    <s v="#EVRevolution"/>
    <s v="CybertruckLaunch"/>
    <n v="3226"/>
  </r>
  <r>
    <s v="P169"/>
    <s v="YouTube"/>
    <x v="23"/>
    <s v="Video"/>
    <s v="Check out our latest video on youtube!"/>
    <x v="25"/>
    <n v="273"/>
    <n v="200"/>
    <n v="34281"/>
    <n v="33534"/>
    <n v="83"/>
    <s v="#EVRevolution"/>
    <s v="CybertruckLaunch"/>
    <n v="4282"/>
  </r>
  <r>
    <s v="P176"/>
    <s v="Facebook"/>
    <x v="24"/>
    <s v="Video"/>
    <s v="Check out our latest video on facebook!"/>
    <x v="26"/>
    <n v="31"/>
    <n v="279"/>
    <n v="75960"/>
    <n v="75813"/>
    <n v="266"/>
    <s v="#TeslaCoInnovation"/>
    <s v="CybertruckLaunch"/>
    <n v="4108"/>
  </r>
  <r>
    <s v="P180"/>
    <s v="YouTube"/>
    <x v="23"/>
    <s v="Text"/>
    <s v="Check out our latest text on youtube!"/>
    <x v="27"/>
    <n v="352"/>
    <n v="290"/>
    <n v="48243"/>
    <n v="47579"/>
    <n v="11"/>
    <s v="#TeslaCoInnovation"/>
    <s v="CybertruckLaunch"/>
    <n v="4353"/>
  </r>
  <r>
    <s v="P184"/>
    <s v="Twitter"/>
    <x v="25"/>
    <s v="Image"/>
    <s v="Check out our latest image on twitter!"/>
    <x v="28"/>
    <n v="960"/>
    <n v="202"/>
    <n v="32150"/>
    <n v="31404"/>
    <n v="251"/>
    <s v="#EVRevolution"/>
    <s v="CybertruckLaunch"/>
    <n v="4377"/>
  </r>
  <r>
    <s v="P189"/>
    <s v="Facebook"/>
    <x v="26"/>
    <s v="Reel"/>
    <s v="Check out our latest reel on facebook!"/>
    <x v="29"/>
    <n v="525"/>
    <n v="500"/>
    <n v="60480"/>
    <n v="59610"/>
    <n v="192"/>
    <s v="#TeslaCoInnovation"/>
    <s v="CybertruckLaunch"/>
    <n v="4385"/>
  </r>
  <r>
    <s v="P194"/>
    <s v="YouTube"/>
    <x v="14"/>
    <s v="Story"/>
    <s v="Check out our latest story on youtube!"/>
    <x v="30"/>
    <n v="771"/>
    <n v="7"/>
    <n v="60900"/>
    <n v="60592"/>
    <n v="195"/>
    <s v="#EVRevolution"/>
    <s v="CybertruckLaunch"/>
    <n v="5128"/>
  </r>
  <r>
    <s v="P197"/>
    <s v="Twitter"/>
    <x v="27"/>
    <s v="Reel"/>
    <s v="Check out our latest reel on twitter!"/>
    <x v="31"/>
    <n v="721"/>
    <n v="82"/>
    <n v="86076"/>
    <n v="85339"/>
    <n v="19"/>
    <s v="#EVRevolution"/>
    <s v="CybertruckLaunch"/>
    <n v="5585"/>
  </r>
  <r>
    <s v="P201"/>
    <s v="Twitter"/>
    <x v="28"/>
    <s v="Reel"/>
    <s v="Check out our latest reel on twitter!"/>
    <x v="32"/>
    <n v="262"/>
    <n v="244"/>
    <n v="14436"/>
    <n v="14280"/>
    <n v="49"/>
    <s v="#EVRevolution"/>
    <s v="CybertruckLaunch"/>
    <n v="1308"/>
  </r>
  <r>
    <s v="P203"/>
    <s v="Instagram"/>
    <x v="29"/>
    <s v="Carousel"/>
    <s v="Check out our latest carousel on instagram!"/>
    <x v="33"/>
    <n v="299"/>
    <n v="38"/>
    <n v="71687"/>
    <n v="71447"/>
    <n v="286"/>
    <s v="#FutureOfDriving"/>
    <s v="CybertruckLaunch"/>
    <n v="4110"/>
  </r>
  <r>
    <s v="P206"/>
    <s v="Twitter"/>
    <x v="30"/>
    <s v="Text"/>
    <s v="Check out our latest text on twitter!"/>
    <x v="34"/>
    <n v="121"/>
    <n v="458"/>
    <n v="14115"/>
    <n v="13838"/>
    <n v="87"/>
    <s v="#EVRevolution"/>
    <s v="CybertruckLaunch"/>
    <n v="1520"/>
  </r>
  <r>
    <s v="P210"/>
    <s v="YouTube"/>
    <x v="31"/>
    <s v="Image"/>
    <s v="Check out our latest image on youtube!"/>
    <x v="35"/>
    <n v="966"/>
    <n v="398"/>
    <n v="3341"/>
    <n v="2753"/>
    <n v="287"/>
    <s v="#FutureOfDriving"/>
    <s v="CybertruckLaunch"/>
    <n v="1621"/>
  </r>
  <r>
    <s v="P222"/>
    <s v="Facebook"/>
    <x v="32"/>
    <s v="Reel"/>
    <s v="Check out our latest reel on facebook!"/>
    <x v="36"/>
    <n v="653"/>
    <n v="363"/>
    <n v="25396"/>
    <n v="25286"/>
    <n v="39"/>
    <s v="#FutureOfDriving,#SmoothLikeNitroTesla"/>
    <s v="CybertruckLaunch"/>
    <n v="2830"/>
  </r>
  <r>
    <s v="P228"/>
    <s v="Instagram"/>
    <x v="33"/>
    <s v="Story"/>
    <s v="Check out our latest story on instagram!"/>
    <x v="37"/>
    <n v="772"/>
    <n v="320"/>
    <n v="72120"/>
    <n v="71696"/>
    <n v="195"/>
    <s v="#EVRevolution"/>
    <s v="CybertruckLaunch"/>
    <n v="5900"/>
  </r>
  <r>
    <s v="P231"/>
    <s v="Instagram"/>
    <x v="34"/>
    <s v="Text"/>
    <s v="Check out our latest text on instagram!"/>
    <x v="38"/>
    <n v="376"/>
    <n v="33"/>
    <n v="21450"/>
    <n v="20509"/>
    <n v="251"/>
    <s v="#FutureOfDriving"/>
    <s v="CybertruckLaunch"/>
    <n v="1839"/>
  </r>
  <r>
    <s v="P237"/>
    <s v="Instagram"/>
    <x v="27"/>
    <s v="Story"/>
    <s v="Check out our latest story on instagram!"/>
    <x v="39"/>
    <n v="917"/>
    <n v="129"/>
    <n v="71630"/>
    <n v="71322"/>
    <n v="76"/>
    <s v="#FutureOfDriving"/>
    <s v="CybertruckLaunch"/>
    <n v="4816"/>
  </r>
  <r>
    <s v="P245"/>
    <s v="Facebook"/>
    <x v="35"/>
    <s v="Reel"/>
    <s v="Check out our latest reel on facebook!"/>
    <x v="40"/>
    <n v="824"/>
    <n v="99"/>
    <n v="41340"/>
    <n v="41050"/>
    <n v="177"/>
    <s v="#EVRevolution"/>
    <s v="CybertruckLaunch"/>
    <n v="5057"/>
  </r>
  <r>
    <s v="P259"/>
    <s v="Facebook"/>
    <x v="36"/>
    <s v="Text"/>
    <s v="Check out our latest text on facebook!"/>
    <x v="41"/>
    <n v="158"/>
    <n v="149"/>
    <n v="3372"/>
    <n v="2940"/>
    <n v="93"/>
    <s v="#TeslaCoInnovation"/>
    <s v="CybertruckLaunch"/>
    <n v="869"/>
  </r>
  <r>
    <s v="P261"/>
    <s v="Instagram"/>
    <x v="37"/>
    <s v="Image"/>
    <s v="Check out our latest image on instagram!"/>
    <x v="42"/>
    <n v="837"/>
    <n v="340"/>
    <n v="72795"/>
    <n v="72237"/>
    <n v="170"/>
    <s v="#EVRevolution"/>
    <s v="CybertruckLaunch"/>
    <n v="6030"/>
  </r>
  <r>
    <s v="P268"/>
    <s v="Instagram"/>
    <x v="38"/>
    <s v="Reel"/>
    <s v="Check out our latest reel on instagram!"/>
    <x v="43"/>
    <n v="125"/>
    <n v="300"/>
    <n v="59527"/>
    <n v="59400"/>
    <n v="269"/>
    <s v="#EVRevolution"/>
    <s v="CybertruckLaunch"/>
    <n v="5004"/>
  </r>
  <r>
    <s v="P277"/>
    <s v="Facebook"/>
    <x v="16"/>
    <s v="Image"/>
    <s v="Check out our latest image on facebook!"/>
    <x v="44"/>
    <n v="711"/>
    <n v="298"/>
    <n v="21180"/>
    <n v="20516"/>
    <n v="238"/>
    <s v="#FutureOfDriving"/>
    <s v="CybertruckLaunch"/>
    <n v="5245"/>
  </r>
  <r>
    <s v="P287"/>
    <s v="Instagram"/>
    <x v="39"/>
    <s v="Reel"/>
    <s v="Check out our latest reel on instagram!"/>
    <x v="45"/>
    <n v="616"/>
    <n v="324"/>
    <n v="6984"/>
    <n v="6636"/>
    <n v="82"/>
    <s v="#EVRevolution"/>
    <s v="CybertruckLaunch"/>
    <n v="2104"/>
  </r>
  <r>
    <s v="P293"/>
    <s v="Facebook"/>
    <x v="40"/>
    <s v="Text"/>
    <s v="Check out our latest text on facebook!"/>
    <x v="46"/>
    <n v="726"/>
    <n v="241"/>
    <n v="28974"/>
    <n v="28102"/>
    <n v="277"/>
    <s v="#EVRevolution"/>
    <s v="CybertruckLaunch"/>
    <n v="3601"/>
  </r>
  <r>
    <s v="P300"/>
    <s v="Twitter"/>
    <x v="41"/>
    <s v="Carousel"/>
    <s v="Check out our latest carousel on twitter!"/>
    <x v="47"/>
    <n v="717"/>
    <n v="45"/>
    <n v="62916"/>
    <n v="62688"/>
    <n v="191"/>
    <s v="#TeslaCoInnovation,#EVRevolution,#BetterWithTesla"/>
    <s v="CybertruckLaunch"/>
    <n v="5256"/>
  </r>
  <r>
    <s v="P003"/>
    <s v="YouTube"/>
    <x v="42"/>
    <s v="Reel"/>
    <s v="Check out our latest reel on youtube!"/>
    <x v="48"/>
    <n v="105"/>
    <n v="49"/>
    <n v="53105"/>
    <n v="52307"/>
    <n v="204"/>
    <s v="#TeslaCoInnovation"/>
    <s v="FSDUpdate"/>
    <n v="2949"/>
  </r>
  <r>
    <s v="P012"/>
    <s v="Facebook"/>
    <x v="43"/>
    <s v="Reel"/>
    <s v="Check out our latest reel on facebook!"/>
    <x v="49"/>
    <n v="686"/>
    <n v="377"/>
    <n v="23352"/>
    <n v="22982"/>
    <n v="213"/>
    <s v="#FutureOfDriving"/>
    <s v="FSDUpdate"/>
    <n v="3009"/>
  </r>
  <r>
    <s v="P016"/>
    <s v="Facebook"/>
    <x v="44"/>
    <s v="Text"/>
    <s v="Check out our latest text on facebook!"/>
    <x v="50"/>
    <n v="377"/>
    <n v="360"/>
    <n v="55232"/>
    <n v="55075"/>
    <n v="87"/>
    <s v="#FutureOfDriving"/>
    <s v="FSDUpdate"/>
    <n v="4189"/>
  </r>
  <r>
    <s v="P024"/>
    <s v="Facebook"/>
    <x v="45"/>
    <s v="Video"/>
    <s v="Check out our latest video on facebook!"/>
    <x v="51"/>
    <n v="761"/>
    <n v="131"/>
    <n v="67337"/>
    <n v="66615"/>
    <n v="161"/>
    <s v="#FutureOfDriving"/>
    <s v="FSDUpdate"/>
    <n v="4853"/>
  </r>
  <r>
    <s v="P029"/>
    <s v="Instagram"/>
    <x v="46"/>
    <s v="Carousel"/>
    <s v="Check out our latest carousel on instagram!"/>
    <x v="52"/>
    <n v="118"/>
    <n v="37"/>
    <n v="12830"/>
    <n v="12264"/>
    <n v="221"/>
    <s v="#FutureOfDriving"/>
    <s v="FSDUpdate"/>
    <n v="2721"/>
  </r>
  <r>
    <s v="P034"/>
    <s v="Facebook"/>
    <x v="47"/>
    <s v="Text"/>
    <s v="Check out our latest text on facebook!"/>
    <x v="53"/>
    <n v="89"/>
    <n v="357"/>
    <n v="29736"/>
    <n v="28771"/>
    <n v="215"/>
    <s v="#TeslaCoInnovation"/>
    <s v="FSDUpdate"/>
    <n v="2098"/>
  </r>
  <r>
    <s v="P043"/>
    <s v="Instagram"/>
    <x v="48"/>
    <s v="Carousel"/>
    <s v="Check out our latest carousel on instagram!"/>
    <x v="54"/>
    <n v="658"/>
    <n v="15"/>
    <n v="13044"/>
    <n v="12206"/>
    <n v="137"/>
    <s v="#TeslaCoInnovation"/>
    <s v="FSDUpdate"/>
    <n v="2847"/>
  </r>
  <r>
    <s v="P050"/>
    <s v="YouTube"/>
    <x v="49"/>
    <s v="Story"/>
    <s v="Check out our latest story on youtube!"/>
    <x v="55"/>
    <n v="130"/>
    <n v="90"/>
    <n v="22032"/>
    <n v="21288"/>
    <n v="112"/>
    <s v="#TeslaCoInnovation"/>
    <s v="FSDUpdate"/>
    <n v="2974"/>
  </r>
  <r>
    <s v="P056"/>
    <s v="Facebook"/>
    <x v="50"/>
    <s v="Carousel"/>
    <s v="Check out our latest carousel on facebook!"/>
    <x v="56"/>
    <n v="498"/>
    <n v="367"/>
    <n v="29460"/>
    <n v="28527"/>
    <n v="60"/>
    <s v="#FutureOfDriving"/>
    <s v="FSDUpdate"/>
    <n v="3811"/>
  </r>
  <r>
    <s v="P060"/>
    <s v="Instagram"/>
    <x v="51"/>
    <s v="Video"/>
    <s v="Check out our latest video on instagram!"/>
    <x v="57"/>
    <n v="973"/>
    <n v="63"/>
    <n v="11752"/>
    <n v="11580"/>
    <n v="84"/>
    <s v="#EVRevolution,#TeslaCoInnovation,#AnytimeIsTeslaTime"/>
    <s v="FSDUpdate"/>
    <n v="1940"/>
  </r>
  <r>
    <s v="P062"/>
    <s v="Twitter"/>
    <x v="52"/>
    <s v="Carousel"/>
    <s v="Check out our latest carousel on twitter!"/>
    <x v="58"/>
    <n v="81"/>
    <n v="379"/>
    <n v="954"/>
    <n v="7"/>
    <n v="148"/>
    <s v="#TeslaCoInnovation"/>
    <s v="FSDUpdate"/>
    <n v="513"/>
  </r>
  <r>
    <s v="P063"/>
    <s v="Twitter"/>
    <x v="6"/>
    <s v="Carousel"/>
    <s v="Check out our latest carousel on twitter!"/>
    <x v="59"/>
    <n v="217"/>
    <n v="13"/>
    <n v="90140"/>
    <n v="89591"/>
    <n v="125"/>
    <s v="#FutureOfDriving"/>
    <s v="FSDUpdate"/>
    <n v="4737"/>
  </r>
  <r>
    <s v="P064"/>
    <s v="Facebook"/>
    <x v="53"/>
    <s v="Image"/>
    <s v="Check out our latest image on facebook!"/>
    <x v="60"/>
    <n v="248"/>
    <n v="416"/>
    <n v="43170"/>
    <n v="42667"/>
    <n v="75"/>
    <s v="#FutureOfDriving"/>
    <s v="FSDUpdate"/>
    <n v="3542"/>
  </r>
  <r>
    <s v="P067"/>
    <s v="Facebook"/>
    <x v="54"/>
    <s v="Carousel"/>
    <s v="Check out our latest carousel on facebook!"/>
    <x v="61"/>
    <n v="568"/>
    <n v="127"/>
    <n v="84816"/>
    <n v="84691"/>
    <n v="100"/>
    <s v="#EVRevolution"/>
    <s v="FSDUpdate"/>
    <n v="5407"/>
  </r>
  <r>
    <s v="P069"/>
    <s v="Twitter"/>
    <x v="55"/>
    <s v="Text"/>
    <s v="Check out our latest text on twitter!"/>
    <x v="62"/>
    <n v="626"/>
    <n v="496"/>
    <n v="25840"/>
    <n v="24916"/>
    <n v="149"/>
    <s v="#FutureOfDriving"/>
    <s v="FSDUpdate"/>
    <n v="2414"/>
  </r>
  <r>
    <s v="P074"/>
    <s v="YouTube"/>
    <x v="56"/>
    <s v="Reel"/>
    <s v="Check out our latest reel on youtube!"/>
    <x v="63"/>
    <n v="200"/>
    <n v="174"/>
    <n v="16695"/>
    <n v="16330"/>
    <n v="123"/>
    <s v="#TeslaCoInnovation"/>
    <s v="FSDUpdate"/>
    <n v="2229"/>
  </r>
  <r>
    <s v="P081"/>
    <s v="Instagram"/>
    <x v="57"/>
    <s v="Story"/>
    <s v="Check out our latest story on instagram!"/>
    <x v="64"/>
    <n v="29"/>
    <n v="41"/>
    <n v="19976"/>
    <n v="19262"/>
    <n v="283"/>
    <s v="#TeslaCoInnovation"/>
    <s v="FSDUpdate"/>
    <n v="1886"/>
  </r>
  <r>
    <s v="P082"/>
    <s v="Instagram"/>
    <x v="58"/>
    <s v="Image"/>
    <s v="Check out our latest image on instagram!"/>
    <x v="65"/>
    <n v="88"/>
    <n v="428"/>
    <n v="14500"/>
    <n v="13637"/>
    <n v="200"/>
    <s v="#FutureOfDriving,#TeslaCoInnovation,#AnytimeIsTeslaTime"/>
    <s v="FSDUpdate"/>
    <n v="1241"/>
  </r>
  <r>
    <s v="P087"/>
    <s v="Twitter"/>
    <x v="59"/>
    <s v="Video"/>
    <s v="Check out our latest video on twitter!"/>
    <x v="66"/>
    <n v="765"/>
    <n v="496"/>
    <n v="12924"/>
    <n v="12701"/>
    <n v="197"/>
    <s v="#FutureOfDriving"/>
    <s v="FSDUpdate"/>
    <n v="2697"/>
  </r>
  <r>
    <s v="P092"/>
    <s v="Twitter"/>
    <x v="9"/>
    <s v="Story"/>
    <s v="Check out our latest story on twitter!"/>
    <x v="67"/>
    <n v="967"/>
    <n v="401"/>
    <n v="38010"/>
    <n v="37625"/>
    <n v="236"/>
    <s v="#FutureOfDriving"/>
    <s v="FSDUpdate"/>
    <n v="5169"/>
  </r>
  <r>
    <s v="P093"/>
    <s v="Instagram"/>
    <x v="60"/>
    <s v="Video"/>
    <s v="Check out our latest video on instagram!"/>
    <x v="68"/>
    <n v="951"/>
    <n v="26"/>
    <n v="8586"/>
    <n v="8396"/>
    <n v="150"/>
    <s v="#EVRevolution"/>
    <s v="FSDUpdate"/>
    <n v="2408"/>
  </r>
  <r>
    <s v="P094"/>
    <s v="Instagram"/>
    <x v="61"/>
    <s v="Image"/>
    <s v="Check out our latest image on instagram!"/>
    <x v="69"/>
    <n v="304"/>
    <n v="170"/>
    <n v="18529"/>
    <n v="17841"/>
    <n v="46"/>
    <s v="#FutureOfDriving"/>
    <s v="FSDUpdate"/>
    <n v="3121"/>
  </r>
  <r>
    <s v="P099"/>
    <s v="YouTube"/>
    <x v="62"/>
    <s v="Carousel"/>
    <s v="Check out our latest carousel on youtube!"/>
    <x v="70"/>
    <n v="548"/>
    <n v="86"/>
    <n v="66736"/>
    <n v="66634"/>
    <n v="173"/>
    <s v="#FutureOfDriving"/>
    <s v="FSDUpdate"/>
    <n v="4805"/>
  </r>
  <r>
    <s v="P101"/>
    <s v="YouTube"/>
    <x v="63"/>
    <s v="Video"/>
    <s v="Check out our latest video on youtube!"/>
    <x v="71"/>
    <n v="983"/>
    <n v="143"/>
    <n v="75650"/>
    <n v="75008"/>
    <n v="12"/>
    <s v="#FutureOfDriving"/>
    <s v="FSDUpdate"/>
    <n v="5576"/>
  </r>
  <r>
    <s v="P104"/>
    <s v="YouTube"/>
    <x v="64"/>
    <s v="Story"/>
    <s v="Check out our latest story on youtube!"/>
    <x v="72"/>
    <n v="568"/>
    <n v="286"/>
    <n v="32895"/>
    <n v="32015"/>
    <n v="199"/>
    <s v="#TeslaCoInnovation"/>
    <s v="FSDUpdate"/>
    <n v="4509"/>
  </r>
  <r>
    <s v="P109"/>
    <s v="Twitter"/>
    <x v="65"/>
    <s v="Story"/>
    <s v="Check out our latest story on twitter!"/>
    <x v="73"/>
    <n v="215"/>
    <n v="413"/>
    <n v="25543"/>
    <n v="24963"/>
    <n v="167"/>
    <s v="#FutureOfDriving"/>
    <s v="FSDUpdate"/>
    <n v="4277"/>
  </r>
  <r>
    <s v="P112"/>
    <s v="Twitter"/>
    <x v="66"/>
    <s v="Story"/>
    <s v="Check out our latest story on twitter!"/>
    <x v="74"/>
    <n v="877"/>
    <n v="238"/>
    <n v="17613"/>
    <n v="16865"/>
    <n v="297"/>
    <s v="#FutureOfDriving"/>
    <s v="FSDUpdate"/>
    <n v="3072"/>
  </r>
  <r>
    <s v="P118"/>
    <s v="Facebook"/>
    <x v="67"/>
    <s v="Image"/>
    <s v="Check out our latest image on facebook!"/>
    <x v="75"/>
    <n v="714"/>
    <n v="207"/>
    <n v="68265"/>
    <n v="67754"/>
    <n v="57"/>
    <s v="#FutureOfDriving"/>
    <s v="FSDUpdate"/>
    <n v="5472"/>
  </r>
  <r>
    <s v="P120"/>
    <s v="Facebook"/>
    <x v="9"/>
    <s v="Story"/>
    <s v="Check out our latest story on facebook!"/>
    <x v="76"/>
    <n v="928"/>
    <n v="301"/>
    <n v="8580"/>
    <n v="8081"/>
    <n v="91"/>
    <s v="#EVRevolution"/>
    <s v="FSDUpdate"/>
    <n v="2009"/>
  </r>
  <r>
    <s v="P127"/>
    <s v="Facebook"/>
    <x v="68"/>
    <s v="Reel"/>
    <s v="Check out our latest reel on facebook!"/>
    <x v="50"/>
    <n v="652"/>
    <n v="442"/>
    <n v="65588"/>
    <n v="65049"/>
    <n v="158"/>
    <s v="#FutureOfDriving"/>
    <s v="FSDUpdate"/>
    <n v="4546"/>
  </r>
  <r>
    <s v="P131"/>
    <s v="Instagram"/>
    <x v="9"/>
    <s v="Reel"/>
    <s v="Check out our latest reel on instagram!"/>
    <x v="77"/>
    <n v="658"/>
    <n v="211"/>
    <n v="43560"/>
    <n v="43225"/>
    <n v="57"/>
    <s v="#FutureOfDriving"/>
    <s v="FSDUpdate"/>
    <n v="5709"/>
  </r>
  <r>
    <s v="P138"/>
    <s v="Twitter"/>
    <x v="54"/>
    <s v="Image"/>
    <s v="Check out our latest image on twitter!"/>
    <x v="78"/>
    <n v="187"/>
    <n v="243"/>
    <n v="4575"/>
    <n v="3704"/>
    <n v="234"/>
    <s v="#FutureOfDriving"/>
    <s v="FSDUpdate"/>
    <n v="735"/>
  </r>
  <r>
    <s v="P143"/>
    <s v="YouTube"/>
    <x v="14"/>
    <s v="Carousel"/>
    <s v="Check out our latest carousel on youtube!"/>
    <x v="79"/>
    <n v="362"/>
    <n v="80"/>
    <n v="1040"/>
    <n v="349"/>
    <n v="117"/>
    <s v="#TeslaCoInnovation"/>
    <s v="FSDUpdate"/>
    <n v="522"/>
  </r>
  <r>
    <s v="P153"/>
    <s v="Twitter"/>
    <x v="69"/>
    <s v="Video"/>
    <s v="Check out our latest video on twitter!"/>
    <x v="80"/>
    <n v="197"/>
    <n v="257"/>
    <n v="6786"/>
    <n v="6221"/>
    <n v="212"/>
    <s v="#TeslaCoInnovation"/>
    <s v="FSDUpdate"/>
    <n v="1208"/>
  </r>
  <r>
    <s v="P170"/>
    <s v="Twitter"/>
    <x v="70"/>
    <s v="Text"/>
    <s v="Check out our latest text on twitter!"/>
    <x v="81"/>
    <n v="596"/>
    <n v="493"/>
    <n v="67963"/>
    <n v="67839"/>
    <n v="53"/>
    <s v="#TeslaCoInnovation"/>
    <s v="FSDUpdate"/>
    <n v="4666"/>
  </r>
  <r>
    <s v="P172"/>
    <s v="Facebook"/>
    <x v="71"/>
    <s v="Carousel"/>
    <s v="Check out our latest carousel on facebook!"/>
    <x v="82"/>
    <n v="553"/>
    <n v="174"/>
    <n v="52241"/>
    <n v="51605"/>
    <n v="246"/>
    <s v="#EVRevolution"/>
    <s v="FSDUpdate"/>
    <n v="3800"/>
  </r>
  <r>
    <s v="P173"/>
    <s v="Twitter"/>
    <x v="72"/>
    <s v="Video"/>
    <s v="Check out our latest video on twitter!"/>
    <x v="83"/>
    <n v="925"/>
    <n v="35"/>
    <n v="15960"/>
    <n v="15379"/>
    <n v="229"/>
    <s v="#FutureOfDriving"/>
    <s v="FSDUpdate"/>
    <n v="2290"/>
  </r>
  <r>
    <s v="P177"/>
    <s v="Instagram"/>
    <x v="73"/>
    <s v="Carousel"/>
    <s v="Check out our latest carousel on instagram!"/>
    <x v="84"/>
    <n v="694"/>
    <n v="171"/>
    <n v="43386"/>
    <n v="42921"/>
    <n v="52"/>
    <s v="#TeslaCoInnovation"/>
    <s v="FSDUpdate"/>
    <n v="3964"/>
  </r>
  <r>
    <s v="P181"/>
    <s v="YouTube"/>
    <x v="74"/>
    <s v="Image"/>
    <s v="Check out our latest image on youtube!"/>
    <x v="85"/>
    <n v="789"/>
    <n v="470"/>
    <n v="7878"/>
    <n v="7389"/>
    <n v="239"/>
    <s v="#EVRevolution"/>
    <s v="FSDUpdate"/>
    <n v="1865"/>
  </r>
  <r>
    <s v="P186"/>
    <s v="Facebook"/>
    <x v="75"/>
    <s v="Carousel"/>
    <s v="Check out our latest carousel on facebook!"/>
    <x v="86"/>
    <n v="51"/>
    <n v="392"/>
    <n v="55796"/>
    <n v="54826"/>
    <n v="264"/>
    <s v="#EVRevolution"/>
    <s v="FSDUpdate"/>
    <n v="4735"/>
  </r>
  <r>
    <s v="P187"/>
    <s v="Twitter"/>
    <x v="76"/>
    <s v="Reel"/>
    <s v="Check out our latest reel on twitter!"/>
    <x v="87"/>
    <n v="546"/>
    <n v="150"/>
    <n v="27948"/>
    <n v="27184"/>
    <n v="300"/>
    <s v="#EVRevolution"/>
    <s v="FSDUpdate"/>
    <n v="2340"/>
  </r>
  <r>
    <s v="P191"/>
    <s v="YouTube"/>
    <x v="23"/>
    <s v="Story"/>
    <s v="Check out our latest story on youtube!"/>
    <x v="88"/>
    <n v="886"/>
    <n v="376"/>
    <n v="55705"/>
    <n v="55556"/>
    <n v="51"/>
    <s v="#FutureOfDriving"/>
    <s v="FSDUpdate"/>
    <n v="5547"/>
  </r>
  <r>
    <s v="P193"/>
    <s v="Twitter"/>
    <x v="77"/>
    <s v="Image"/>
    <s v="Check out our latest image on twitter!"/>
    <x v="89"/>
    <n v="317"/>
    <n v="129"/>
    <n v="53438"/>
    <n v="52687"/>
    <n v="223"/>
    <s v="#EVRevolution"/>
    <s v="FSDUpdate"/>
    <n v="5304"/>
  </r>
  <r>
    <s v="P196"/>
    <s v="Instagram"/>
    <x v="78"/>
    <s v="Text"/>
    <s v="Check out our latest text on instagram!"/>
    <x v="90"/>
    <n v="623"/>
    <n v="72"/>
    <n v="19943"/>
    <n v="18959"/>
    <n v="85"/>
    <s v="#EVRevolution"/>
    <s v="FSDUpdate"/>
    <n v="2508"/>
  </r>
  <r>
    <s v="P198"/>
    <s v="Twitter"/>
    <x v="79"/>
    <s v="Image"/>
    <s v="Check out our latest image on twitter!"/>
    <x v="91"/>
    <n v="374"/>
    <n v="450"/>
    <n v="9432"/>
    <n v="8882"/>
    <n v="158"/>
    <s v="#TeslaCoInnovation"/>
    <s v="FSDUpdate"/>
    <n v="1872"/>
  </r>
  <r>
    <s v="P202"/>
    <s v="Facebook"/>
    <x v="80"/>
    <s v="Image"/>
    <s v="Check out our latest image on facebook!"/>
    <x v="92"/>
    <n v="252"/>
    <n v="335"/>
    <n v="29936"/>
    <n v="29576"/>
    <n v="288"/>
    <s v="#EVRevolution"/>
    <s v="FSDUpdate"/>
    <n v="2458"/>
  </r>
  <r>
    <s v="P204"/>
    <s v="Instagram"/>
    <x v="69"/>
    <s v="Carousel"/>
    <s v="Check out our latest carousel on instagram!"/>
    <x v="93"/>
    <n v="653"/>
    <n v="432"/>
    <n v="11170"/>
    <n v="10569"/>
    <n v="198"/>
    <s v="#FutureOfDriving"/>
    <s v="FSDUpdate"/>
    <n v="3319"/>
  </r>
  <r>
    <s v="P207"/>
    <s v="Twitter"/>
    <x v="81"/>
    <s v="Carousel"/>
    <s v="Check out our latest carousel on twitter!"/>
    <x v="94"/>
    <n v="340"/>
    <n v="281"/>
    <n v="34192"/>
    <n v="33446"/>
    <n v="129"/>
    <s v="#TeslaCoInnovation,#SmoothLikeNitroTesla"/>
    <s v="FSDUpdate"/>
    <n v="4895"/>
  </r>
  <r>
    <s v="P224"/>
    <s v="Facebook"/>
    <x v="82"/>
    <s v="Image"/>
    <s v="Check out our latest image on facebook!"/>
    <x v="95"/>
    <n v="594"/>
    <n v="156"/>
    <n v="4214"/>
    <n v="3363"/>
    <n v="164"/>
    <s v="#TeslaCoInnovation"/>
    <s v="FSDUpdate"/>
    <n v="1352"/>
  </r>
  <r>
    <s v="P227"/>
    <s v="Instagram"/>
    <x v="83"/>
    <s v="Text"/>
    <s v="Check out our latest text on instagram!"/>
    <x v="96"/>
    <n v="149"/>
    <n v="130"/>
    <n v="4674"/>
    <n v="4390"/>
    <n v="217"/>
    <s v="#FutureOfDriving"/>
    <s v="FSDUpdate"/>
    <n v="525"/>
  </r>
  <r>
    <s v="P230"/>
    <s v="Facebook"/>
    <x v="84"/>
    <s v="Reel"/>
    <s v="Check out our latest reel on facebook!"/>
    <x v="97"/>
    <n v="17"/>
    <n v="295"/>
    <n v="51282"/>
    <n v="50567"/>
    <n v="84"/>
    <s v="#EVRevolution"/>
    <s v="FSDUpdate"/>
    <n v="3975"/>
  </r>
  <r>
    <s v="P235"/>
    <s v="Facebook"/>
    <x v="76"/>
    <s v="Image"/>
    <s v="Check out our latest image on facebook!"/>
    <x v="98"/>
    <n v="941"/>
    <n v="376"/>
    <n v="35156"/>
    <n v="34444"/>
    <n v="241"/>
    <s v="#TeslaCoInnovation"/>
    <s v="FSDUpdate"/>
    <n v="4513"/>
  </r>
  <r>
    <s v="P240"/>
    <s v="Twitter"/>
    <x v="44"/>
    <s v="Carousel"/>
    <s v="Check out our latest carousel on twitter!"/>
    <x v="99"/>
    <n v="192"/>
    <n v="322"/>
    <n v="16722"/>
    <n v="15996"/>
    <n v="145"/>
    <s v="#EVRevolution,#TeslaCoInnovation,#AnytimeIsTeslaTime"/>
    <s v="FSDUpdate"/>
    <n v="1443"/>
  </r>
  <r>
    <s v="P242"/>
    <s v="Facebook"/>
    <x v="85"/>
    <s v="Reel"/>
    <s v="Check out our latest reel on facebook!"/>
    <x v="100"/>
    <n v="190"/>
    <n v="340"/>
    <n v="28602"/>
    <n v="28044"/>
    <n v="210"/>
    <s v="#EVRevolution"/>
    <s v="FSDUpdate"/>
    <n v="5297"/>
  </r>
  <r>
    <s v="P244"/>
    <s v="YouTube"/>
    <x v="86"/>
    <s v="Video"/>
    <s v="Check out our latest video on youtube!"/>
    <x v="101"/>
    <n v="935"/>
    <n v="433"/>
    <n v="23305"/>
    <n v="22583"/>
    <n v="63"/>
    <s v="#FutureOfDriving"/>
    <s v="FSDUpdate"/>
    <n v="6029"/>
  </r>
  <r>
    <s v="P252"/>
    <s v="Facebook"/>
    <x v="70"/>
    <s v="Carousel"/>
    <s v="Check out our latest carousel on facebook!"/>
    <x v="102"/>
    <n v="476"/>
    <n v="69"/>
    <n v="16712"/>
    <n v="16309"/>
    <n v="64"/>
    <s v="#FutureOfDriving"/>
    <s v="FSDUpdate"/>
    <n v="2634"/>
  </r>
  <r>
    <s v="P260"/>
    <s v="Instagram"/>
    <x v="87"/>
    <s v="Story"/>
    <s v="Check out our latest story on instagram!"/>
    <x v="103"/>
    <n v="771"/>
    <n v="219"/>
    <n v="60648"/>
    <n v="60397"/>
    <n v="10"/>
    <s v="#TeslaCoInnovation,#EVRevolution,#BetterWithTesla"/>
    <s v="FSDUpdate"/>
    <n v="5322"/>
  </r>
  <r>
    <s v="P266"/>
    <s v="Facebook"/>
    <x v="88"/>
    <s v="Story"/>
    <s v="Check out our latest story on facebook!"/>
    <x v="104"/>
    <n v="640"/>
    <n v="240"/>
    <n v="50184"/>
    <n v="49351"/>
    <n v="10"/>
    <s v="#TeslaCoInnovation"/>
    <s v="FSDUpdate"/>
    <n v="5062"/>
  </r>
  <r>
    <s v="P270"/>
    <s v="YouTube"/>
    <x v="28"/>
    <s v="Reel"/>
    <s v="Check out our latest reel on youtube!"/>
    <x v="105"/>
    <n v="239"/>
    <n v="39"/>
    <n v="60384"/>
    <n v="59490"/>
    <n v="241"/>
    <s v="#TeslaCoInnovation"/>
    <s v="FSDUpdate"/>
    <n v="4052"/>
  </r>
  <r>
    <s v="P272"/>
    <s v="Instagram"/>
    <x v="89"/>
    <s v="Text"/>
    <s v="Check out our latest text on instagram!"/>
    <x v="106"/>
    <n v="414"/>
    <n v="266"/>
    <n v="39528"/>
    <n v="39154"/>
    <n v="217"/>
    <s v="#TeslaCoInnovation"/>
    <s v="FSDUpdate"/>
    <n v="5621"/>
  </r>
  <r>
    <s v="P275"/>
    <s v="Facebook"/>
    <x v="90"/>
    <s v="Reel"/>
    <s v="Check out our latest reel on facebook!"/>
    <x v="107"/>
    <n v="831"/>
    <n v="345"/>
    <n v="17410"/>
    <n v="16844"/>
    <n v="58"/>
    <s v="#EVRevolution"/>
    <s v="FSDUpdate"/>
    <n v="2917"/>
  </r>
  <r>
    <s v="P282"/>
    <s v="Instagram"/>
    <x v="91"/>
    <s v="Video"/>
    <s v="Check out our latest video on instagram!"/>
    <x v="108"/>
    <n v="417"/>
    <n v="168"/>
    <n v="19344"/>
    <n v="18395"/>
    <n v="30"/>
    <s v="#FutureOfDriving"/>
    <s v="FSDUpdate"/>
    <n v="2073"/>
  </r>
  <r>
    <s v="P286"/>
    <s v="YouTube"/>
    <x v="92"/>
    <s v="Video"/>
    <s v="Check out our latest video on youtube!"/>
    <x v="109"/>
    <n v="344"/>
    <n v="229"/>
    <n v="20334"/>
    <n v="19443"/>
    <n v="228"/>
    <s v="#FutureOfDriving"/>
    <s v="FSDUpdate"/>
    <n v="3962"/>
  </r>
  <r>
    <s v="P288"/>
    <s v="YouTube"/>
    <x v="93"/>
    <s v="Carousel"/>
    <s v="Check out our latest carousel on youtube!"/>
    <x v="110"/>
    <n v="691"/>
    <n v="380"/>
    <n v="86040"/>
    <n v="85743"/>
    <n v="262"/>
    <s v="#FutureOfDriving"/>
    <s v="FSDUpdate"/>
    <n v="5851"/>
  </r>
  <r>
    <s v="P294"/>
    <s v="Facebook"/>
    <x v="94"/>
    <s v="Carousel"/>
    <s v="Check out our latest carousel on facebook!"/>
    <x v="111"/>
    <n v="173"/>
    <n v="276"/>
    <n v="28386"/>
    <n v="28185"/>
    <n v="89"/>
    <s v="#EVRevolution"/>
    <s v="FSDUpdate"/>
    <n v="5180"/>
  </r>
  <r>
    <s v="P298"/>
    <s v="Facebook"/>
    <x v="3"/>
    <s v="Image"/>
    <s v="Check out our latest image on facebook!"/>
    <x v="112"/>
    <n v="451"/>
    <n v="286"/>
    <n v="86060"/>
    <n v="85823"/>
    <n v="14"/>
    <s v="#TeslaCoInnovation"/>
    <s v="FSDUpdate"/>
    <n v="5040"/>
  </r>
  <r>
    <s v="P299"/>
    <s v="Facebook"/>
    <x v="44"/>
    <s v="Image"/>
    <s v="Check out our latest image on facebook!"/>
    <x v="113"/>
    <n v="517"/>
    <n v="117"/>
    <n v="23229"/>
    <n v="22331"/>
    <n v="70"/>
    <s v="#FutureOfDriving"/>
    <s v="FSDUpdate"/>
    <n v="3215"/>
  </r>
  <r>
    <s v="P002"/>
    <s v="Twitter"/>
    <x v="95"/>
    <s v="Text"/>
    <s v="Check out our latest text on twitter!"/>
    <x v="5"/>
    <n v="389"/>
    <n v="493"/>
    <n v="64864"/>
    <n v="64383"/>
    <n v="117"/>
    <s v="#TeslaCoInnovation,#BetterWithTesla"/>
    <s v="ModelYCampaign"/>
    <n v="4936"/>
  </r>
  <r>
    <s v="P006"/>
    <s v="Facebook"/>
    <x v="96"/>
    <s v="Carousel"/>
    <s v="Check out our latest carousel on facebook!"/>
    <x v="114"/>
    <n v="930"/>
    <n v="355"/>
    <n v="23560"/>
    <n v="23275"/>
    <n v="256"/>
    <s v="#TeslaCoInnovation"/>
    <s v="ModelYCampaign"/>
    <n v="4230"/>
  </r>
  <r>
    <s v="P007"/>
    <s v="Twitter"/>
    <x v="30"/>
    <s v="Carousel"/>
    <s v="Check out our latest carousel on twitter!"/>
    <x v="115"/>
    <n v="201"/>
    <n v="279"/>
    <n v="61760"/>
    <n v="61660"/>
    <n v="235"/>
    <s v="#TeslaCoInnovation"/>
    <s v="ModelYCampaign"/>
    <n v="4340"/>
  </r>
  <r>
    <s v="P009"/>
    <s v="Facebook"/>
    <x v="97"/>
    <s v="Text"/>
    <s v="Check out our latest text on facebook!"/>
    <x v="116"/>
    <n v="808"/>
    <n v="404"/>
    <n v="56760"/>
    <n v="56343"/>
    <n v="131"/>
    <s v="#TeslaCoInnovation"/>
    <s v="ModelYCampaign"/>
    <n v="4996"/>
  </r>
  <r>
    <s v="P010"/>
    <s v="Facebook"/>
    <x v="98"/>
    <s v="Image"/>
    <s v="Check out our latest image on facebook!"/>
    <x v="117"/>
    <n v="902"/>
    <n v="47"/>
    <n v="72097"/>
    <n v="71598"/>
    <n v="167"/>
    <s v="#TeslaCoInnovation"/>
    <s v="ModelYCampaign"/>
    <n v="5190"/>
  </r>
  <r>
    <s v="P023"/>
    <s v="Facebook"/>
    <x v="99"/>
    <s v="Video"/>
    <s v="Check out our latest video on facebook!"/>
    <x v="118"/>
    <n v="547"/>
    <n v="316"/>
    <n v="32120"/>
    <n v="31736"/>
    <n v="225"/>
    <s v="#TeslaCoInnovation,#AnytimeIsTeslaTime"/>
    <s v="ModelYCampaign"/>
    <n v="2469"/>
  </r>
  <r>
    <s v="P026"/>
    <s v="YouTube"/>
    <x v="100"/>
    <s v="Reel"/>
    <s v="Check out our latest reel on youtube!"/>
    <x v="119"/>
    <n v="413"/>
    <n v="358"/>
    <n v="42126"/>
    <n v="41309"/>
    <n v="211"/>
    <s v="#FutureOfDriving"/>
    <s v="ModelYCampaign"/>
    <n v="3780"/>
  </r>
  <r>
    <s v="P031"/>
    <s v="Instagram"/>
    <x v="101"/>
    <s v="Text"/>
    <s v="Check out our latest text on instagram!"/>
    <x v="120"/>
    <n v="153"/>
    <n v="275"/>
    <n v="3066"/>
    <n v="2701"/>
    <n v="282"/>
    <s v="#TeslaCoInnovation"/>
    <s v="ModelYCampaign"/>
    <n v="866"/>
  </r>
  <r>
    <s v="P035"/>
    <s v="Instagram"/>
    <x v="102"/>
    <s v="Video"/>
    <s v="Check out our latest video on instagram!"/>
    <x v="121"/>
    <n v="16"/>
    <n v="239"/>
    <n v="33975"/>
    <n v="33310"/>
    <n v="271"/>
    <s v="#FutureOfDriving"/>
    <s v="ModelYCampaign"/>
    <n v="4030"/>
  </r>
  <r>
    <s v="P036"/>
    <s v="Instagram"/>
    <x v="12"/>
    <s v="Story"/>
    <s v="Check out our latest story on instagram!"/>
    <x v="122"/>
    <n v="285"/>
    <n v="383"/>
    <n v="67770"/>
    <n v="67621"/>
    <n v="31"/>
    <s v="#EVRevolution"/>
    <s v="ModelYCampaign"/>
    <n v="5186"/>
  </r>
  <r>
    <s v="P037"/>
    <s v="Facebook"/>
    <x v="103"/>
    <s v="Carousel"/>
    <s v="Check out our latest carousel on facebook!"/>
    <x v="123"/>
    <n v="925"/>
    <n v="350"/>
    <n v="24192"/>
    <n v="23518"/>
    <n v="36"/>
    <s v="#EVRevolution"/>
    <s v="ModelYCampaign"/>
    <n v="4299"/>
  </r>
  <r>
    <s v="P051"/>
    <s v="Facebook"/>
    <x v="104"/>
    <s v="Carousel"/>
    <s v="Check out our latest carousel on facebook!"/>
    <x v="124"/>
    <n v="504"/>
    <n v="239"/>
    <n v="37400"/>
    <n v="36938"/>
    <n v="225"/>
    <s v="#FutureOfDriving"/>
    <s v="ModelYCampaign"/>
    <n v="2943"/>
  </r>
  <r>
    <s v="P054"/>
    <s v="YouTube"/>
    <x v="105"/>
    <s v="Carousel"/>
    <s v="Check out our latest carousel on youtube!"/>
    <x v="125"/>
    <n v="904"/>
    <n v="472"/>
    <n v="18546"/>
    <n v="18171"/>
    <n v="52"/>
    <s v="#FutureOfDriving"/>
    <s v="ModelYCampaign"/>
    <n v="3062"/>
  </r>
  <r>
    <s v="P071"/>
    <s v="YouTube"/>
    <x v="106"/>
    <s v="Carousel"/>
    <s v="Check out our latest carousel on youtube!"/>
    <x v="126"/>
    <n v="915"/>
    <n v="205"/>
    <n v="30612"/>
    <n v="30360"/>
    <n v="227"/>
    <s v="#TeslaCoInnovation"/>
    <s v="ModelYCampaign"/>
    <n v="3671"/>
  </r>
  <r>
    <s v="P072"/>
    <s v="YouTube"/>
    <x v="107"/>
    <s v="Reel"/>
    <s v="Check out our latest reel on youtube!"/>
    <x v="127"/>
    <n v="60"/>
    <n v="141"/>
    <n v="5624"/>
    <n v="5239"/>
    <n v="88"/>
    <s v="#EVRevolution"/>
    <s v="ModelYCampaign"/>
    <n v="497"/>
  </r>
  <r>
    <s v="P079"/>
    <s v="Instagram"/>
    <x v="108"/>
    <s v="Carousel"/>
    <s v="Check out our latest carousel on instagram!"/>
    <x v="128"/>
    <n v="137"/>
    <n v="329"/>
    <n v="39884"/>
    <n v="39404"/>
    <n v="266"/>
    <s v="#EVRevolution"/>
    <s v="ModelYCampaign"/>
    <n v="3534"/>
  </r>
  <r>
    <s v="P097"/>
    <s v="Instagram"/>
    <x v="109"/>
    <s v="Image"/>
    <s v="Check out our latest image on instagram!"/>
    <x v="129"/>
    <n v="527"/>
    <n v="135"/>
    <n v="61607"/>
    <n v="61333"/>
    <n v="36"/>
    <s v="#TeslaCoInnovation,#AnytimeIsTeslaTime"/>
    <s v="ModelYCampaign"/>
    <n v="5401"/>
  </r>
  <r>
    <s v="P102"/>
    <s v="Twitter"/>
    <x v="110"/>
    <s v="Reel"/>
    <s v="Check out our latest reel on twitter!"/>
    <x v="130"/>
    <n v="978"/>
    <n v="162"/>
    <n v="6000"/>
    <n v="5221"/>
    <n v="223"/>
    <s v="#EVRevolution"/>
    <s v="ModelYCampaign"/>
    <n v="2140"/>
  </r>
  <r>
    <s v="P103"/>
    <s v="Facebook"/>
    <x v="111"/>
    <s v="Image"/>
    <s v="Check out our latest image on facebook!"/>
    <x v="131"/>
    <n v="48"/>
    <n v="306"/>
    <n v="40579"/>
    <n v="39588"/>
    <n v="212"/>
    <s v="#EVRevolution"/>
    <s v="ModelYCampaign"/>
    <n v="4043"/>
  </r>
  <r>
    <s v="P108"/>
    <s v="Twitter"/>
    <x v="112"/>
    <s v="Video"/>
    <s v="Check out our latest video on twitter!"/>
    <x v="132"/>
    <n v="871"/>
    <n v="347"/>
    <n v="52650"/>
    <n v="51755"/>
    <n v="209"/>
    <s v="#TeslaCoInnovation"/>
    <s v="ModelYCampaign"/>
    <n v="5268"/>
  </r>
  <r>
    <s v="P110"/>
    <s v="Instagram"/>
    <x v="113"/>
    <s v="Reel"/>
    <s v="Check out our latest reel on instagram!"/>
    <x v="133"/>
    <n v="753"/>
    <n v="482"/>
    <n v="38753"/>
    <n v="38579"/>
    <n v="270"/>
    <s v="#EVRevolution"/>
    <s v="ModelYCampaign"/>
    <n v="4758"/>
  </r>
  <r>
    <s v="P111"/>
    <s v="YouTube"/>
    <x v="114"/>
    <s v="Image"/>
    <s v="Check out our latest image on youtube!"/>
    <x v="134"/>
    <n v="17"/>
    <n v="285"/>
    <n v="40785"/>
    <n v="40281"/>
    <n v="40"/>
    <s v="#TeslaCoInnovation"/>
    <s v="ModelYCampaign"/>
    <n v="3021"/>
  </r>
  <r>
    <s v="P122"/>
    <s v="Instagram"/>
    <x v="14"/>
    <s v="Text"/>
    <s v="Check out our latest text on instagram!"/>
    <x v="135"/>
    <n v="869"/>
    <n v="123"/>
    <n v="54912"/>
    <n v="53916"/>
    <n v="264"/>
    <s v="#EVRevolution"/>
    <s v="ModelYCampaign"/>
    <n v="4424"/>
  </r>
  <r>
    <s v="P132"/>
    <s v="Instagram"/>
    <x v="115"/>
    <s v="Story"/>
    <s v="Check out our latest story on instagram!"/>
    <x v="136"/>
    <n v="842"/>
    <n v="101"/>
    <n v="21417"/>
    <n v="20967"/>
    <n v="186"/>
    <s v="#FutureOfDriving"/>
    <s v="ModelYCampaign"/>
    <n v="2890"/>
  </r>
  <r>
    <s v="P140"/>
    <s v="Facebook"/>
    <x v="84"/>
    <s v="Image"/>
    <s v="Check out our latest image on facebook!"/>
    <x v="137"/>
    <n v="78"/>
    <n v="485"/>
    <n v="18328"/>
    <n v="18101"/>
    <n v="10"/>
    <s v="#EVRevolution,#SmoothLikeNitroTesla"/>
    <s v="ModelYCampaign"/>
    <n v="2854"/>
  </r>
  <r>
    <s v="P147"/>
    <s v="Instagram"/>
    <x v="9"/>
    <s v="Reel"/>
    <s v="Check out our latest reel on instagram!"/>
    <x v="138"/>
    <n v="459"/>
    <n v="266"/>
    <n v="26048"/>
    <n v="25529"/>
    <n v="143"/>
    <s v="#TeslaCoInnovation"/>
    <s v="ModelYCampaign"/>
    <n v="3981"/>
  </r>
  <r>
    <s v="P155"/>
    <s v="YouTube"/>
    <x v="116"/>
    <s v="Image"/>
    <s v="Check out our latest image on youtube!"/>
    <x v="139"/>
    <n v="210"/>
    <n v="130"/>
    <n v="22830"/>
    <n v="22617"/>
    <n v="143"/>
    <s v="#FutureOfDriving"/>
    <s v="ModelYCampaign"/>
    <n v="2623"/>
  </r>
  <r>
    <s v="P156"/>
    <s v="Facebook"/>
    <x v="27"/>
    <s v="Carousel"/>
    <s v="Check out our latest carousel on facebook!"/>
    <x v="140"/>
    <n v="941"/>
    <n v="482"/>
    <n v="43576"/>
    <n v="43338"/>
    <n v="240"/>
    <s v="#FutureOfDriving"/>
    <s v="ModelYCampaign"/>
    <n v="4775"/>
  </r>
  <r>
    <s v="P157"/>
    <s v="YouTube"/>
    <x v="117"/>
    <s v="Story"/>
    <s v="Check out our latest story on youtube!"/>
    <x v="141"/>
    <n v="173"/>
    <n v="206"/>
    <n v="47750"/>
    <n v="47544"/>
    <n v="187"/>
    <s v="#FutureOfDriving"/>
    <s v="ModelYCampaign"/>
    <n v="5154"/>
  </r>
  <r>
    <s v="P159"/>
    <s v="Facebook"/>
    <x v="88"/>
    <s v="Story"/>
    <s v="Check out our latest story on facebook!"/>
    <x v="142"/>
    <n v="158"/>
    <n v="488"/>
    <n v="12720"/>
    <n v="12085"/>
    <n v="17"/>
    <s v="#FutureOfDriving"/>
    <s v="ModelYCampaign"/>
    <n v="2766"/>
  </r>
  <r>
    <s v="P163"/>
    <s v="Instagram"/>
    <x v="118"/>
    <s v="Image"/>
    <s v="Check out our latest image on instagram!"/>
    <x v="143"/>
    <n v="375"/>
    <n v="323"/>
    <n v="22505"/>
    <n v="21836"/>
    <n v="132"/>
    <s v="#TeslaCoInnovation"/>
    <s v="ModelYCampaign"/>
    <n v="5199"/>
  </r>
  <r>
    <s v="P165"/>
    <s v="Twitter"/>
    <x v="60"/>
    <s v="Text"/>
    <s v="Check out our latest text on twitter!"/>
    <x v="144"/>
    <n v="43"/>
    <n v="211"/>
    <n v="22673"/>
    <n v="22171"/>
    <n v="230"/>
    <s v="#TeslaCoInnovation"/>
    <s v="ModelYCampaign"/>
    <n v="3493"/>
  </r>
  <r>
    <s v="P171"/>
    <s v="YouTube"/>
    <x v="119"/>
    <s v="Video"/>
    <s v="Check out our latest video on youtube!"/>
    <x v="145"/>
    <n v="447"/>
    <n v="332"/>
    <n v="18324"/>
    <n v="18164"/>
    <n v="38"/>
    <s v="#FutureOfDriving"/>
    <s v="ModelYCampaign"/>
    <n v="1797"/>
  </r>
  <r>
    <s v="P183"/>
    <s v="Instagram"/>
    <x v="120"/>
    <s v="Story"/>
    <s v="Check out our latest story on instagram!"/>
    <x v="146"/>
    <n v="590"/>
    <n v="393"/>
    <n v="4680"/>
    <n v="4322"/>
    <n v="208"/>
    <s v="#FutureOfDriving"/>
    <s v="ModelYCampaign"/>
    <n v="1343"/>
  </r>
  <r>
    <s v="P188"/>
    <s v="YouTube"/>
    <x v="59"/>
    <s v="Reel"/>
    <s v="Check out our latest reel on youtube!"/>
    <x v="147"/>
    <n v="533"/>
    <n v="215"/>
    <n v="40920"/>
    <n v="40816"/>
    <n v="137"/>
    <s v="#FutureOfDriving"/>
    <s v="ModelYCampaign"/>
    <n v="3476"/>
  </r>
  <r>
    <s v="P199"/>
    <s v="YouTube"/>
    <x v="102"/>
    <s v="Carousel"/>
    <s v="Check out our latest carousel on youtube!"/>
    <x v="148"/>
    <n v="324"/>
    <n v="171"/>
    <n v="35126"/>
    <n v="34685"/>
    <n v="277"/>
    <s v="#TeslaCoInnovation"/>
    <s v="ModelYCampaign"/>
    <n v="3004"/>
  </r>
  <r>
    <s v="P200"/>
    <s v="Facebook"/>
    <x v="121"/>
    <s v="Reel"/>
    <s v="Check out our latest reel on facebook!"/>
    <x v="149"/>
    <n v="385"/>
    <n v="310"/>
    <n v="70642"/>
    <n v="69749"/>
    <n v="233"/>
    <s v="#TeslaCoInnovation"/>
    <s v="ModelYCampaign"/>
    <n v="4413"/>
  </r>
  <r>
    <s v="P208"/>
    <s v="YouTube"/>
    <x v="30"/>
    <s v="Video"/>
    <s v="Check out our latest video on youtube!"/>
    <x v="150"/>
    <n v="476"/>
    <n v="403"/>
    <n v="44235"/>
    <n v="43705"/>
    <n v="135"/>
    <s v="#TeslaCoInnovation"/>
    <s v="ModelYCampaign"/>
    <n v="3828"/>
  </r>
  <r>
    <s v="P212"/>
    <s v="YouTube"/>
    <x v="107"/>
    <s v="Video"/>
    <s v="Check out our latest video on youtube!"/>
    <x v="151"/>
    <n v="884"/>
    <n v="19"/>
    <n v="38740"/>
    <n v="38552"/>
    <n v="219"/>
    <s v="#TeslaCoInnovation"/>
    <s v="ModelYCampaign"/>
    <n v="4777"/>
  </r>
  <r>
    <s v="P214"/>
    <s v="Instagram"/>
    <x v="0"/>
    <s v="Image"/>
    <s v="Check out our latest image on instagram!"/>
    <x v="152"/>
    <n v="746"/>
    <n v="315"/>
    <n v="4168"/>
    <n v="3399"/>
    <n v="282"/>
    <s v="#FutureOfDriving"/>
    <s v="ModelYCampaign"/>
    <n v="1582"/>
  </r>
  <r>
    <s v="P215"/>
    <s v="Facebook"/>
    <x v="122"/>
    <s v="Image"/>
    <s v="Check out our latest image on facebook!"/>
    <x v="153"/>
    <n v="925"/>
    <n v="176"/>
    <n v="82824"/>
    <n v="82543"/>
    <n v="89"/>
    <s v="#EVRevolution"/>
    <s v="ModelYCampaign"/>
    <n v="5973"/>
  </r>
  <r>
    <s v="P216"/>
    <s v="YouTube"/>
    <x v="113"/>
    <s v="Story"/>
    <s v="Check out our latest story on youtube!"/>
    <x v="154"/>
    <n v="88"/>
    <n v="163"/>
    <n v="30180"/>
    <n v="29689"/>
    <n v="119"/>
    <s v="#EVRevolution"/>
    <s v="ModelYCampaign"/>
    <n v="1760"/>
  </r>
  <r>
    <s v="P236"/>
    <s v="Facebook"/>
    <x v="4"/>
    <s v="Text"/>
    <s v="Check out our latest text on facebook!"/>
    <x v="155"/>
    <n v="19"/>
    <n v="351"/>
    <n v="12570"/>
    <n v="11660"/>
    <n v="194"/>
    <s v="#FutureOfDriving,#AnytimeIsTeslaTime,#EVRevolution"/>
    <s v="ModelYCampaign"/>
    <n v="1627"/>
  </r>
  <r>
    <s v="P246"/>
    <s v="Facebook"/>
    <x v="123"/>
    <s v="Image"/>
    <s v="Check out our latest image on facebook!"/>
    <x v="156"/>
    <n v="680"/>
    <n v="434"/>
    <n v="6400"/>
    <n v="5472"/>
    <n v="160"/>
    <s v="#FutureOfDriving"/>
    <s v="ModelYCampaign"/>
    <n v="1514"/>
  </r>
  <r>
    <s v="P249"/>
    <s v="Twitter"/>
    <x v="124"/>
    <s v="Image"/>
    <s v="Check out our latest image on twitter!"/>
    <x v="157"/>
    <n v="77"/>
    <n v="402"/>
    <n v="14886"/>
    <n v="14129"/>
    <n v="254"/>
    <s v="#EVRevolution"/>
    <s v="ModelYCampaign"/>
    <n v="1306"/>
  </r>
  <r>
    <s v="P254"/>
    <s v="Twitter"/>
    <x v="125"/>
    <s v="Image"/>
    <s v="Check out our latest image on twitter!"/>
    <x v="158"/>
    <n v="115"/>
    <n v="64"/>
    <n v="21536"/>
    <n v="21120"/>
    <n v="224"/>
    <s v="#FutureOfDriving"/>
    <s v="ModelYCampaign"/>
    <n v="2871"/>
  </r>
  <r>
    <s v="P256"/>
    <s v="YouTube"/>
    <x v="110"/>
    <s v="Carousel"/>
    <s v="Check out our latest carousel on youtube!"/>
    <x v="159"/>
    <n v="12"/>
    <n v="204"/>
    <n v="40717"/>
    <n v="40125"/>
    <n v="248"/>
    <s v="#EVRevolution"/>
    <s v="ModelYCampaign"/>
    <n v="2359"/>
  </r>
  <r>
    <s v="P257"/>
    <s v="Facebook"/>
    <x v="16"/>
    <s v="Image"/>
    <s v="Check out our latest image on facebook!"/>
    <x v="160"/>
    <n v="697"/>
    <n v="164"/>
    <n v="49440"/>
    <n v="48524"/>
    <n v="25"/>
    <s v="#EVRevolution,#EVRevolution,#BetterWithTesla"/>
    <s v="ModelYCampaign"/>
    <n v="3951"/>
  </r>
  <r>
    <s v="P258"/>
    <s v="Instagram"/>
    <x v="90"/>
    <s v="Story"/>
    <s v="Check out our latest story on instagram!"/>
    <x v="161"/>
    <n v="695"/>
    <n v="75"/>
    <n v="21606"/>
    <n v="21454"/>
    <n v="172"/>
    <s v="#EVRevolution"/>
    <s v="ModelYCampaign"/>
    <n v="4371"/>
  </r>
  <r>
    <s v="P263"/>
    <s v="Instagram"/>
    <x v="126"/>
    <s v="Reel"/>
    <s v="Check out our latest reel on instagram!"/>
    <x v="162"/>
    <n v="690"/>
    <n v="205"/>
    <n v="13015"/>
    <n v="12130"/>
    <n v="20"/>
    <s v="#FutureOfDriving"/>
    <s v="ModelYCampaign"/>
    <n v="3498"/>
  </r>
  <r>
    <s v="P264"/>
    <s v="Twitter"/>
    <x v="127"/>
    <s v="Image"/>
    <s v="Check out our latest image on twitter!"/>
    <x v="163"/>
    <n v="163"/>
    <n v="93"/>
    <n v="590"/>
    <n v="475"/>
    <n v="293"/>
    <s v="#TeslaCoInnovation"/>
    <s v="ModelYCampaign"/>
    <n v="315"/>
  </r>
  <r>
    <s v="P269"/>
    <s v="Instagram"/>
    <x v="128"/>
    <s v="Video"/>
    <s v="Check out our latest video on instagram!"/>
    <x v="164"/>
    <n v="51"/>
    <n v="441"/>
    <n v="22805"/>
    <n v="21890"/>
    <n v="45"/>
    <s v="#TeslaCoInnovation"/>
    <s v="ModelYCampaign"/>
    <n v="5053"/>
  </r>
  <r>
    <s v="P271"/>
    <s v="Instagram"/>
    <x v="129"/>
    <s v="Video"/>
    <s v="Check out our latest video on instagram!"/>
    <x v="165"/>
    <n v="749"/>
    <n v="111"/>
    <n v="21450"/>
    <n v="20785"/>
    <n v="195"/>
    <s v="#EVRevolution"/>
    <s v="ModelYCampaign"/>
    <n v="4435"/>
  </r>
  <r>
    <s v="P276"/>
    <s v="Twitter"/>
    <x v="130"/>
    <s v="Carousel"/>
    <s v="Check out our latest carousel on twitter!"/>
    <x v="166"/>
    <n v="195"/>
    <n v="131"/>
    <n v="9336"/>
    <n v="8875"/>
    <n v="137"/>
    <s v="#TeslaCoInnovation"/>
    <s v="ModelYCampaign"/>
    <n v="1882"/>
  </r>
  <r>
    <s v="P279"/>
    <s v="YouTube"/>
    <x v="106"/>
    <s v="Image"/>
    <s v="Check out our latest image on youtube!"/>
    <x v="167"/>
    <n v="845"/>
    <n v="129"/>
    <n v="98100"/>
    <n v="97772"/>
    <n v="279"/>
    <s v="#TeslaCoInnovation"/>
    <s v="ModelYCampaign"/>
    <n v="5879"/>
  </r>
  <r>
    <s v="P281"/>
    <s v="YouTube"/>
    <x v="131"/>
    <s v="Image"/>
    <s v="Check out our latest image on youtube!"/>
    <x v="168"/>
    <n v="90"/>
    <n v="341"/>
    <n v="56988"/>
    <n v="56125"/>
    <n v="135"/>
    <s v="#EVRevolution"/>
    <s v="ModelYCampaign"/>
    <n v="3597"/>
  </r>
  <r>
    <s v="P283"/>
    <s v="Twitter"/>
    <x v="132"/>
    <s v="Reel"/>
    <s v="Check out our latest reel on twitter!"/>
    <x v="169"/>
    <n v="302"/>
    <n v="57"/>
    <n v="63973"/>
    <n v="63789"/>
    <n v="157"/>
    <s v="#FutureOfDriving"/>
    <s v="ModelYCampaign"/>
    <n v="3726"/>
  </r>
  <r>
    <s v="P295"/>
    <s v="Twitter"/>
    <x v="122"/>
    <s v="Image"/>
    <s v="Check out our latest image on twitter!"/>
    <x v="170"/>
    <n v="344"/>
    <n v="287"/>
    <n v="15616"/>
    <n v="15403"/>
    <n v="235"/>
    <s v="#FutureOfDriving,#TeslaCoInnovation,#AnytimeIsTeslaTime"/>
    <s v="ModelYCampaign"/>
    <n v="2583"/>
  </r>
  <r>
    <s v="P004"/>
    <s v="Instagram"/>
    <x v="133"/>
    <s v="Story"/>
    <s v="Check out our latest story on instagram!"/>
    <x v="171"/>
    <n v="363"/>
    <n v="138"/>
    <n v="19232"/>
    <n v="18636"/>
    <n v="128"/>
    <s v="#EVRevolution"/>
    <s v="SustainabilityDrive"/>
    <n v="2905"/>
  </r>
  <r>
    <s v="P008"/>
    <s v="YouTube"/>
    <x v="134"/>
    <s v="Image"/>
    <s v="Check out our latest image on youtube!"/>
    <x v="172"/>
    <n v="262"/>
    <n v="278"/>
    <n v="43219"/>
    <n v="42841"/>
    <n v="39"/>
    <s v="#EVRevolution"/>
    <s v="SustainabilityDrive"/>
    <n v="4469"/>
  </r>
  <r>
    <s v="P011"/>
    <s v="Instagram"/>
    <x v="135"/>
    <s v="Story"/>
    <s v="Check out our latest story on instagram!"/>
    <x v="173"/>
    <n v="614"/>
    <n v="497"/>
    <n v="25088"/>
    <n v="24675"/>
    <n v="65"/>
    <s v="#FutureOfDriving"/>
    <s v="SustainabilityDrive"/>
    <n v="2903"/>
  </r>
  <r>
    <s v="P017"/>
    <s v="Facebook"/>
    <x v="136"/>
    <s v="Text"/>
    <s v="Check out our latest text on facebook!"/>
    <x v="174"/>
    <n v="511"/>
    <n v="70"/>
    <n v="53292"/>
    <n v="53082"/>
    <n v="159"/>
    <s v="#EVRevolution"/>
    <s v="SustainabilityDrive"/>
    <n v="5022"/>
  </r>
  <r>
    <s v="P019"/>
    <s v="Instagram"/>
    <x v="137"/>
    <s v="Video"/>
    <s v="Check out our latest video on instagram!"/>
    <x v="175"/>
    <n v="519"/>
    <n v="22"/>
    <n v="16065"/>
    <n v="15865"/>
    <n v="103"/>
    <s v="#TeslaCoInnovation"/>
    <s v="SustainabilityDrive"/>
    <n v="1612"/>
  </r>
  <r>
    <s v="P021"/>
    <s v="Instagram"/>
    <x v="138"/>
    <s v="Reel"/>
    <s v="Check out our latest reel on instagram!"/>
    <x v="176"/>
    <n v="640"/>
    <n v="128"/>
    <n v="72570"/>
    <n v="72396"/>
    <n v="83"/>
    <s v="#FutureOfDriving"/>
    <s v="SustainabilityDrive"/>
    <n v="5606"/>
  </r>
  <r>
    <s v="P022"/>
    <s v="Facebook"/>
    <x v="139"/>
    <s v="Text"/>
    <s v="Check out our latest text on facebook!"/>
    <x v="177"/>
    <n v="187"/>
    <n v="260"/>
    <n v="25120"/>
    <n v="24613"/>
    <n v="133"/>
    <s v="#TeslaCoInnovation"/>
    <s v="SustainabilityDrive"/>
    <n v="2017"/>
  </r>
  <r>
    <s v="P027"/>
    <s v="YouTube"/>
    <x v="140"/>
    <s v="Text"/>
    <s v="Check out our latest text on youtube!"/>
    <x v="178"/>
    <n v="195"/>
    <n v="104"/>
    <n v="33216"/>
    <n v="32244"/>
    <n v="51"/>
    <s v="#FutureOfDriving"/>
    <s v="SustainabilityDrive"/>
    <n v="2375"/>
  </r>
  <r>
    <s v="P028"/>
    <s v="Instagram"/>
    <x v="115"/>
    <s v="Video"/>
    <s v="Check out our latest video on instagram!"/>
    <x v="11"/>
    <n v="624"/>
    <n v="123"/>
    <n v="6912"/>
    <n v="6259"/>
    <n v="79"/>
    <s v="#FutureOfDriving"/>
    <s v="SustainabilityDrive"/>
    <n v="1179"/>
  </r>
  <r>
    <s v="P038"/>
    <s v="YouTube"/>
    <x v="141"/>
    <s v="Reel"/>
    <s v="Check out our latest reel on youtube!"/>
    <x v="179"/>
    <n v="123"/>
    <n v="291"/>
    <n v="28242"/>
    <n v="27550"/>
    <n v="87"/>
    <s v="#TeslaCoInnovation"/>
    <s v="SustainabilityDrive"/>
    <n v="3552"/>
  </r>
  <r>
    <s v="P040"/>
    <s v="Twitter"/>
    <x v="142"/>
    <s v="Image"/>
    <s v="Check out our latest image on twitter!"/>
    <x v="180"/>
    <n v="151"/>
    <n v="415"/>
    <n v="38000"/>
    <n v="37792"/>
    <n v="299"/>
    <s v="#EVRevolution"/>
    <s v="SustainabilityDrive"/>
    <n v="5316"/>
  </r>
  <r>
    <s v="P041"/>
    <s v="Instagram"/>
    <x v="55"/>
    <s v="Reel"/>
    <s v="Check out our latest reel on instagram!"/>
    <x v="181"/>
    <n v="629"/>
    <n v="428"/>
    <n v="8208"/>
    <n v="7377"/>
    <n v="205"/>
    <s v="#FutureOfDriving"/>
    <s v="SustainabilityDrive"/>
    <n v="1513"/>
  </r>
  <r>
    <s v="P046"/>
    <s v="Twitter"/>
    <x v="143"/>
    <s v="Video"/>
    <s v="Check out our latest video on twitter!"/>
    <x v="182"/>
    <n v="177"/>
    <n v="212"/>
    <n v="8864"/>
    <n v="8710"/>
    <n v="97"/>
    <s v="#TeslaCoInnovation"/>
    <s v="SustainabilityDrive"/>
    <n v="1497"/>
  </r>
  <r>
    <s v="P049"/>
    <s v="Twitter"/>
    <x v="144"/>
    <s v="Story"/>
    <s v="Check out our latest story on twitter!"/>
    <x v="183"/>
    <n v="549"/>
    <n v="274"/>
    <n v="28132"/>
    <n v="27361"/>
    <n v="177"/>
    <s v="#TeslaCoInnovation"/>
    <s v="SustainabilityDrive"/>
    <n v="2987"/>
  </r>
  <r>
    <s v="P052"/>
    <s v="Facebook"/>
    <x v="145"/>
    <s v="Image"/>
    <s v="Check out our latest image on facebook!"/>
    <x v="184"/>
    <n v="338"/>
    <n v="350"/>
    <n v="10417"/>
    <n v="9730"/>
    <n v="34"/>
    <s v="#TeslaCoInnovation"/>
    <s v="SustainabilityDrive"/>
    <n v="1635"/>
  </r>
  <r>
    <s v="P055"/>
    <s v="Facebook"/>
    <x v="146"/>
    <s v="Image"/>
    <s v="Check out our latest image on facebook!"/>
    <x v="185"/>
    <n v="119"/>
    <n v="7"/>
    <n v="14712"/>
    <n v="14049"/>
    <n v="123"/>
    <s v="#EVRevolution"/>
    <s v="SustainabilityDrive"/>
    <n v="1352"/>
  </r>
  <r>
    <s v="P058"/>
    <s v="Instagram"/>
    <x v="147"/>
    <s v="Reel"/>
    <s v="Check out our latest reel on instagram!"/>
    <x v="186"/>
    <n v="770"/>
    <n v="19"/>
    <n v="1030"/>
    <n v="410"/>
    <n v="262"/>
    <s v="#TeslaCoInnovation"/>
    <s v="SustainabilityDrive"/>
    <n v="892"/>
  </r>
  <r>
    <s v="P073"/>
    <s v="Facebook"/>
    <x v="63"/>
    <s v="Story"/>
    <s v="Check out our latest story on facebook!"/>
    <x v="187"/>
    <n v="426"/>
    <n v="486"/>
    <n v="78394"/>
    <n v="77798"/>
    <n v="88"/>
    <s v="#FutureOfDriving"/>
    <s v="SustainabilityDrive"/>
    <n v="5038"/>
  </r>
  <r>
    <s v="P075"/>
    <s v="Instagram"/>
    <x v="148"/>
    <s v="Reel"/>
    <s v="Check out our latest reel on instagram!"/>
    <x v="188"/>
    <n v="929"/>
    <n v="37"/>
    <n v="21762"/>
    <n v="20998"/>
    <n v="255"/>
    <s v="#TeslaCoInnovation"/>
    <s v="SustainabilityDrive"/>
    <n v="2640"/>
  </r>
  <r>
    <s v="P076"/>
    <s v="Twitter"/>
    <x v="61"/>
    <s v="Story"/>
    <s v="Check out our latest story on twitter!"/>
    <x v="189"/>
    <n v="135"/>
    <n v="18"/>
    <n v="15694"/>
    <n v="14957"/>
    <n v="99"/>
    <s v="#TeslaCoInnovation"/>
    <s v="SustainabilityDrive"/>
    <n v="1274"/>
  </r>
  <r>
    <s v="P078"/>
    <s v="Twitter"/>
    <x v="146"/>
    <s v="Image"/>
    <s v="Check out our latest image on twitter!"/>
    <x v="190"/>
    <n v="324"/>
    <n v="288"/>
    <n v="19080"/>
    <n v="18859"/>
    <n v="21"/>
    <s v="#FutureOfDriving"/>
    <s v="SustainabilityDrive"/>
    <n v="1566"/>
  </r>
  <r>
    <s v="P084"/>
    <s v="Facebook"/>
    <x v="149"/>
    <s v="Image"/>
    <s v="Check out our latest image on facebook!"/>
    <x v="191"/>
    <n v="851"/>
    <n v="342"/>
    <n v="34979"/>
    <n v="34154"/>
    <n v="255"/>
    <s v="#FutureOfDriving"/>
    <s v="SustainabilityDrive"/>
    <n v="3034"/>
  </r>
  <r>
    <s v="P086"/>
    <s v="YouTube"/>
    <x v="68"/>
    <s v="Text"/>
    <s v="Check out our latest text on youtube!"/>
    <x v="192"/>
    <n v="305"/>
    <n v="85"/>
    <n v="58276"/>
    <n v="58052"/>
    <n v="242"/>
    <s v="#EVRevolution,#BetterWithTesla"/>
    <s v="SustainabilityDrive"/>
    <n v="3818"/>
  </r>
  <r>
    <s v="P088"/>
    <s v="Facebook"/>
    <x v="85"/>
    <s v="Story"/>
    <s v="Check out our latest story on facebook!"/>
    <x v="193"/>
    <n v="47"/>
    <n v="430"/>
    <n v="5738"/>
    <n v="4890"/>
    <n v="25"/>
    <s v="#TeslaCoInnovation"/>
    <s v="SustainabilityDrive"/>
    <n v="779"/>
  </r>
  <r>
    <s v="P090"/>
    <s v="Instagram"/>
    <x v="150"/>
    <s v="Image"/>
    <s v="Check out our latest image on instagram!"/>
    <x v="194"/>
    <n v="960"/>
    <n v="101"/>
    <n v="69498"/>
    <n v="68817"/>
    <n v="297"/>
    <s v="#TeslaCoInnovation"/>
    <s v="SustainabilityDrive"/>
    <n v="4922"/>
  </r>
  <r>
    <s v="P091"/>
    <s v="Facebook"/>
    <x v="26"/>
    <s v="Image"/>
    <s v="Check out our latest image on facebook!"/>
    <x v="195"/>
    <n v="397"/>
    <n v="357"/>
    <n v="25260"/>
    <n v="24615"/>
    <n v="137"/>
    <s v="#EVRevolution"/>
    <s v="SustainabilityDrive"/>
    <n v="2017"/>
  </r>
  <r>
    <s v="P095"/>
    <s v="Instagram"/>
    <x v="151"/>
    <s v="Text"/>
    <s v="Check out our latest text on instagram!"/>
    <x v="196"/>
    <n v="559"/>
    <n v="160"/>
    <n v="57276"/>
    <n v="56890"/>
    <n v="163"/>
    <s v="#FutureOfDriving"/>
    <s v="SustainabilityDrive"/>
    <n v="3901"/>
  </r>
  <r>
    <s v="P098"/>
    <s v="Twitter"/>
    <x v="144"/>
    <s v="Story"/>
    <s v="Check out our latest story on twitter!"/>
    <x v="197"/>
    <n v="771"/>
    <n v="486"/>
    <n v="25200"/>
    <n v="24826"/>
    <n v="17"/>
    <s v="#FutureOfDriving"/>
    <s v="SustainabilityDrive"/>
    <n v="2832"/>
  </r>
  <r>
    <s v="P106"/>
    <s v="Instagram"/>
    <x v="152"/>
    <s v="Image"/>
    <s v="Check out our latest image on instagram!"/>
    <x v="198"/>
    <n v="821"/>
    <n v="499"/>
    <n v="69285"/>
    <n v="69141"/>
    <n v="298"/>
    <s v="#TeslaCoInnovation"/>
    <s v="SustainabilityDrive"/>
    <n v="5939"/>
  </r>
  <r>
    <s v="P115"/>
    <s v="Twitter"/>
    <x v="153"/>
    <s v="Image"/>
    <s v="Check out our latest image on twitter!"/>
    <x v="199"/>
    <n v="97"/>
    <n v="44"/>
    <n v="42381"/>
    <n v="41991"/>
    <n v="242"/>
    <s v="#TeslaCoInnovation,#AnytimeIsTeslaTime"/>
    <s v="SustainabilityDrive"/>
    <n v="2634"/>
  </r>
  <r>
    <s v="P117"/>
    <s v="Twitter"/>
    <x v="67"/>
    <s v="Image"/>
    <s v="Check out our latest image on twitter!"/>
    <x v="118"/>
    <n v="451"/>
    <n v="405"/>
    <n v="20878"/>
    <n v="20190"/>
    <n v="219"/>
    <s v="#EVRevolution"/>
    <s v="SustainabilityDrive"/>
    <n v="2462"/>
  </r>
  <r>
    <s v="P125"/>
    <s v="Twitter"/>
    <x v="154"/>
    <s v="Carousel"/>
    <s v="Check out our latest carousel on twitter!"/>
    <x v="200"/>
    <n v="866"/>
    <n v="216"/>
    <n v="34299"/>
    <n v="34088"/>
    <n v="233"/>
    <s v="#TeslaCoInnovation"/>
    <s v="SustainabilityDrive"/>
    <n v="4893"/>
  </r>
  <r>
    <s v="P130"/>
    <s v="YouTube"/>
    <x v="155"/>
    <s v="Reel"/>
    <s v="Check out our latest reel on youtube!"/>
    <x v="201"/>
    <n v="439"/>
    <n v="44"/>
    <n v="38168"/>
    <n v="37571"/>
    <n v="22"/>
    <s v="#EVRevolution"/>
    <s v="SustainabilityDrive"/>
    <n v="3419"/>
  </r>
  <r>
    <s v="P133"/>
    <s v="Facebook"/>
    <x v="156"/>
    <s v="Image"/>
    <s v="Check out our latest image on facebook!"/>
    <x v="202"/>
    <n v="532"/>
    <n v="71"/>
    <n v="37296"/>
    <n v="36467"/>
    <n v="25"/>
    <s v="#TeslaCoInnovation"/>
    <s v="SustainabilityDrive"/>
    <n v="2675"/>
  </r>
  <r>
    <s v="P135"/>
    <s v="Facebook"/>
    <x v="157"/>
    <s v="Text"/>
    <s v="Check out our latest text on facebook!"/>
    <x v="203"/>
    <n v="253"/>
    <n v="434"/>
    <n v="75834"/>
    <n v="75437"/>
    <n v="272"/>
    <s v="#FutureOfDriving"/>
    <s v="SustainabilityDrive"/>
    <n v="4900"/>
  </r>
  <r>
    <s v="P136"/>
    <s v="Instagram"/>
    <x v="158"/>
    <s v="Text"/>
    <s v="Check out our latest text on instagram!"/>
    <x v="204"/>
    <n v="888"/>
    <n v="444"/>
    <n v="21938"/>
    <n v="21337"/>
    <n v="130"/>
    <s v="#EVRevolution"/>
    <s v="SustainabilityDrive"/>
    <n v="4466"/>
  </r>
  <r>
    <s v="P142"/>
    <s v="YouTube"/>
    <x v="112"/>
    <s v="Story"/>
    <s v="Check out our latest story on youtube!"/>
    <x v="205"/>
    <n v="275"/>
    <n v="386"/>
    <n v="39330"/>
    <n v="38627"/>
    <n v="114"/>
    <s v="#FutureOfDriving"/>
    <s v="SustainabilityDrive"/>
    <n v="2731"/>
  </r>
  <r>
    <s v="P144"/>
    <s v="YouTube"/>
    <x v="56"/>
    <s v="Story"/>
    <s v="Check out our latest story on youtube!"/>
    <x v="206"/>
    <n v="749"/>
    <n v="452"/>
    <n v="93651"/>
    <n v="92810"/>
    <n v="66"/>
    <s v="#EVRevolution"/>
    <s v="SustainabilityDrive"/>
    <n v="6130"/>
  </r>
  <r>
    <s v="P145"/>
    <s v="Instagram"/>
    <x v="133"/>
    <s v="Carousel"/>
    <s v="Check out our latest carousel on instagram!"/>
    <x v="207"/>
    <n v="62"/>
    <n v="179"/>
    <n v="37560"/>
    <n v="36874"/>
    <n v="142"/>
    <s v="#TeslaCoInnovation"/>
    <s v="SustainabilityDrive"/>
    <n v="2119"/>
  </r>
  <r>
    <s v="P148"/>
    <s v="Instagram"/>
    <x v="147"/>
    <s v="Video"/>
    <s v="Check out our latest video on instagram!"/>
    <x v="208"/>
    <n v="466"/>
    <n v="327"/>
    <n v="24798"/>
    <n v="24620"/>
    <n v="176"/>
    <s v="#EVRevolution"/>
    <s v="SustainabilityDrive"/>
    <n v="4926"/>
  </r>
  <r>
    <s v="P150"/>
    <s v="YouTube"/>
    <x v="159"/>
    <s v="Carousel"/>
    <s v="Check out our latest carousel on youtube!"/>
    <x v="209"/>
    <n v="853"/>
    <n v="325"/>
    <n v="85900"/>
    <n v="85788"/>
    <n v="290"/>
    <s v="#TeslaCoInnovation"/>
    <s v="SustainabilityDrive"/>
    <n v="5473"/>
  </r>
  <r>
    <s v="P152"/>
    <s v="Facebook"/>
    <x v="160"/>
    <s v="Image"/>
    <s v="Check out our latest image on facebook!"/>
    <x v="210"/>
    <n v="550"/>
    <n v="270"/>
    <n v="28824"/>
    <n v="28370"/>
    <n v="47"/>
    <s v="#EVRevolution"/>
    <s v="SustainabilityDrive"/>
    <n v="5624"/>
  </r>
  <r>
    <s v="P154"/>
    <s v="Instagram"/>
    <x v="108"/>
    <s v="Carousel"/>
    <s v="Check out our latest carousel on instagram!"/>
    <x v="211"/>
    <n v="932"/>
    <n v="287"/>
    <n v="6895"/>
    <n v="6757"/>
    <n v="64"/>
    <s v="#FutureOfDriving"/>
    <s v="SustainabilityDrive"/>
    <n v="2204"/>
  </r>
  <r>
    <s v="P161"/>
    <s v="Twitter"/>
    <x v="31"/>
    <s v="Text"/>
    <s v="Check out our latest text on twitter!"/>
    <x v="212"/>
    <n v="876"/>
    <n v="366"/>
    <n v="51381"/>
    <n v="50565"/>
    <n v="245"/>
    <s v="#TeslaCoInnovation"/>
    <s v="SustainabilityDrive"/>
    <n v="5913"/>
  </r>
  <r>
    <s v="P164"/>
    <s v="YouTube"/>
    <x v="139"/>
    <s v="Text"/>
    <s v="Check out our latest text on youtube!"/>
    <x v="213"/>
    <n v="971"/>
    <n v="156"/>
    <n v="39472"/>
    <n v="39025"/>
    <n v="169"/>
    <s v="#TeslaCoInnovation,#AnytimeIsTeslaTime"/>
    <s v="SustainabilityDrive"/>
    <n v="6061"/>
  </r>
  <r>
    <s v="P175"/>
    <s v="Instagram"/>
    <x v="161"/>
    <s v="Reel"/>
    <s v="Check out our latest reel on instagram!"/>
    <x v="214"/>
    <n v="784"/>
    <n v="183"/>
    <n v="1704"/>
    <n v="995"/>
    <n v="154"/>
    <s v="#FutureOfDriving"/>
    <s v="SustainabilityDrive"/>
    <n v="1109"/>
  </r>
  <r>
    <s v="P178"/>
    <s v="Instagram"/>
    <x v="61"/>
    <s v="Video"/>
    <s v="Check out our latest video on instagram!"/>
    <x v="215"/>
    <n v="643"/>
    <n v="136"/>
    <n v="1290"/>
    <n v="839"/>
    <n v="238"/>
    <s v="#TeslaCoInnovation"/>
    <s v="SustainabilityDrive"/>
    <n v="908"/>
  </r>
  <r>
    <s v="P182"/>
    <s v="Facebook"/>
    <x v="6"/>
    <s v="Image"/>
    <s v="Check out our latest image on facebook!"/>
    <x v="216"/>
    <n v="134"/>
    <n v="403"/>
    <n v="51579"/>
    <n v="50924"/>
    <n v="173"/>
    <s v="#TeslaCoInnovation"/>
    <s v="SustainabilityDrive"/>
    <n v="5226"/>
  </r>
  <r>
    <s v="P195"/>
    <s v="Instagram"/>
    <x v="39"/>
    <s v="Carousel"/>
    <s v="Check out our latest carousel on instagram!"/>
    <x v="217"/>
    <n v="464"/>
    <n v="246"/>
    <n v="11882"/>
    <n v="11500"/>
    <n v="282"/>
    <s v="#FutureOfDriving,#TeslaCoInnovation,#AnytimeIsTeslaTime"/>
    <s v="SustainabilityDrive"/>
    <n v="1624"/>
  </r>
  <r>
    <s v="P205"/>
    <s v="Twitter"/>
    <x v="17"/>
    <s v="Video"/>
    <s v="Check out our latest video on twitter!"/>
    <x v="218"/>
    <n v="697"/>
    <n v="268"/>
    <n v="45840"/>
    <n v="45631"/>
    <n v="171"/>
    <s v="#TeslaCoInnovation,#SmoothLikeNitroTesla"/>
    <s v="SustainabilityDrive"/>
    <n v="4785"/>
  </r>
  <r>
    <s v="P209"/>
    <s v="Twitter"/>
    <x v="162"/>
    <s v="Video"/>
    <s v="Check out our latest video on twitter!"/>
    <x v="219"/>
    <n v="204"/>
    <n v="297"/>
    <n v="44240"/>
    <n v="43666"/>
    <n v="49"/>
    <s v="#FutureOfDriving,#AnytimeIsTeslaTime"/>
    <s v="SustainabilityDrive"/>
    <n v="3661"/>
  </r>
  <r>
    <s v="P211"/>
    <s v="Twitter"/>
    <x v="124"/>
    <s v="Carousel"/>
    <s v="Check out our latest carousel on twitter!"/>
    <x v="142"/>
    <n v="38"/>
    <n v="212"/>
    <n v="12720"/>
    <n v="12564"/>
    <n v="21"/>
    <s v="#FutureOfDriving"/>
    <s v="SustainabilityDrive"/>
    <n v="2370"/>
  </r>
  <r>
    <s v="P213"/>
    <s v="Facebook"/>
    <x v="34"/>
    <s v="Carousel"/>
    <s v="Check out our latest carousel on facebook!"/>
    <x v="220"/>
    <n v="628"/>
    <n v="443"/>
    <n v="45832"/>
    <n v="45632"/>
    <n v="248"/>
    <s v="#EVRevolution"/>
    <s v="SustainabilityDrive"/>
    <n v="3767"/>
  </r>
  <r>
    <s v="P218"/>
    <s v="Facebook"/>
    <x v="111"/>
    <s v="Carousel"/>
    <s v="Check out our latest carousel on facebook!"/>
    <x v="221"/>
    <n v="453"/>
    <n v="490"/>
    <n v="14952"/>
    <n v="14309"/>
    <n v="275"/>
    <s v="#TeslaCoInnovation"/>
    <s v="SustainabilityDrive"/>
    <n v="2812"/>
  </r>
  <r>
    <s v="P219"/>
    <s v="Twitter"/>
    <x v="51"/>
    <s v="Reel"/>
    <s v="Check out our latest reel on twitter!"/>
    <x v="222"/>
    <n v="470"/>
    <n v="174"/>
    <n v="7128"/>
    <n v="6145"/>
    <n v="270"/>
    <s v="#TeslaCoInnovation"/>
    <s v="SustainabilityDrive"/>
    <n v="1832"/>
  </r>
  <r>
    <s v="P232"/>
    <s v="Twitter"/>
    <x v="163"/>
    <s v="Story"/>
    <s v="Check out our latest story on twitter!"/>
    <x v="223"/>
    <n v="592"/>
    <n v="230"/>
    <n v="1494"/>
    <n v="1044"/>
    <n v="201"/>
    <s v="#EVRevolution"/>
    <s v="SustainabilityDrive"/>
    <n v="1071"/>
  </r>
  <r>
    <s v="P233"/>
    <s v="Facebook"/>
    <x v="55"/>
    <s v="Image"/>
    <s v="Check out our latest image on facebook!"/>
    <x v="224"/>
    <n v="265"/>
    <n v="134"/>
    <n v="38112"/>
    <n v="37437"/>
    <n v="249"/>
    <s v="#FutureOfDriving"/>
    <s v="SustainabilityDrive"/>
    <n v="2781"/>
  </r>
  <r>
    <s v="P238"/>
    <s v="Twitter"/>
    <x v="164"/>
    <s v="Text"/>
    <s v="Check out our latest text on twitter!"/>
    <x v="225"/>
    <n v="400"/>
    <n v="362"/>
    <n v="75600"/>
    <n v="74927"/>
    <n v="43"/>
    <s v="#FutureOfDriving"/>
    <s v="SustainabilityDrive"/>
    <n v="5487"/>
  </r>
  <r>
    <s v="P241"/>
    <s v="Facebook"/>
    <x v="165"/>
    <s v="Story"/>
    <s v="Check out our latest story on facebook!"/>
    <x v="226"/>
    <n v="874"/>
    <n v="172"/>
    <n v="30247"/>
    <n v="29254"/>
    <n v="122"/>
    <s v="#TeslaCoInnovation"/>
    <s v="SustainabilityDrive"/>
    <n v="5367"/>
  </r>
  <r>
    <s v="P243"/>
    <s v="Twitter"/>
    <x v="166"/>
    <s v="Image"/>
    <s v="Check out our latest image on twitter!"/>
    <x v="227"/>
    <n v="911"/>
    <n v="375"/>
    <n v="50288"/>
    <n v="49490"/>
    <n v="32"/>
    <s v="#FutureOfDriving"/>
    <s v="SustainabilityDrive"/>
    <n v="4878"/>
  </r>
  <r>
    <s v="P255"/>
    <s v="Facebook"/>
    <x v="95"/>
    <s v="Story"/>
    <s v="Check out our latest story on facebook!"/>
    <x v="228"/>
    <n v="514"/>
    <n v="238"/>
    <n v="37670"/>
    <n v="36807"/>
    <n v="226"/>
    <s v="#FutureOfDriving"/>
    <s v="SustainabilityDrive"/>
    <n v="4519"/>
  </r>
  <r>
    <s v="P265"/>
    <s v="Twitter"/>
    <x v="167"/>
    <s v="Carousel"/>
    <s v="Check out our latest carousel on twitter!"/>
    <x v="229"/>
    <n v="745"/>
    <n v="225"/>
    <n v="11262"/>
    <n v="10967"/>
    <n v="41"/>
    <s v="#EVRevolution"/>
    <s v="SustainabilityDrive"/>
    <n v="2847"/>
  </r>
  <r>
    <s v="P273"/>
    <s v="YouTube"/>
    <x v="168"/>
    <s v="Story"/>
    <s v="Check out our latest story on youtube!"/>
    <x v="230"/>
    <n v="226"/>
    <n v="46"/>
    <n v="40051"/>
    <n v="39319"/>
    <n v="296"/>
    <s v="#EVRevolution"/>
    <s v="SustainabilityDrive"/>
    <n v="3913"/>
  </r>
  <r>
    <s v="P274"/>
    <s v="Twitter"/>
    <x v="69"/>
    <s v="Carousel"/>
    <s v="Check out our latest carousel on twitter!"/>
    <x v="231"/>
    <n v="494"/>
    <n v="152"/>
    <n v="53025"/>
    <n v="52791"/>
    <n v="44"/>
    <s v="#TeslaCoInnovation"/>
    <s v="SustainabilityDrive"/>
    <n v="4181"/>
  </r>
  <r>
    <s v="P278"/>
    <s v="Twitter"/>
    <x v="169"/>
    <s v="Text"/>
    <s v="Check out our latest text on twitter!"/>
    <x v="232"/>
    <n v="836"/>
    <n v="169"/>
    <n v="49676"/>
    <n v="49257"/>
    <n v="282"/>
    <s v="#EVRevolution"/>
    <s v="SustainabilityDrive"/>
    <n v="5521"/>
  </r>
  <r>
    <s v="P280"/>
    <s v="YouTube"/>
    <x v="9"/>
    <s v="Video"/>
    <s v="Check out our latest video on youtube!"/>
    <x v="233"/>
    <n v="680"/>
    <n v="385"/>
    <n v="64125"/>
    <n v="63650"/>
    <n v="104"/>
    <s v="#EVRevolution,#TeslaCoInnovation,#AnytimeIsTeslaTime"/>
    <s v="SustainabilityDrive"/>
    <n v="5340"/>
  </r>
  <r>
    <s v="P284"/>
    <s v="Twitter"/>
    <x v="140"/>
    <s v="Text"/>
    <s v="Check out our latest text on twitter!"/>
    <x v="234"/>
    <n v="190"/>
    <n v="352"/>
    <n v="9707"/>
    <n v="9418"/>
    <n v="231"/>
    <s v="#TeslaCoInnovation"/>
    <s v="SustainabilityDrive"/>
    <n v="1113"/>
  </r>
  <r>
    <s v="P290"/>
    <s v="Instagram"/>
    <x v="170"/>
    <s v="Carousel"/>
    <s v="Check out our latest carousel on instagram!"/>
    <x v="235"/>
    <n v="550"/>
    <n v="349"/>
    <n v="35819"/>
    <n v="35340"/>
    <n v="191"/>
    <s v="#EVRevolution"/>
    <s v="SustainabilityDrive"/>
    <n v="3006"/>
  </r>
  <r>
    <s v="P291"/>
    <s v="Facebook"/>
    <x v="99"/>
    <s v="Video"/>
    <s v="Check out our latest video on facebook!"/>
    <x v="236"/>
    <n v="145"/>
    <n v="225"/>
    <n v="69945"/>
    <n v="69596"/>
    <n v="35"/>
    <s v="#EVRevolution"/>
    <s v="SustainabilityDrive"/>
    <n v="5033"/>
  </r>
  <r>
    <s v="P296"/>
    <s v="Twitter"/>
    <x v="171"/>
    <s v="Video"/>
    <s v="Check out our latest video on twitter!"/>
    <x v="237"/>
    <n v="13"/>
    <n v="20"/>
    <n v="58480"/>
    <n v="58146"/>
    <n v="210"/>
    <s v="#TeslaCoInnovation,#SmoothLikeNitroTesla"/>
    <s v="SustainabilityDrive"/>
    <n v="3473"/>
  </r>
  <r>
    <s v="P297"/>
    <s v="Twitter"/>
    <x v="172"/>
    <s v="Text"/>
    <s v="Check out our latest text on twitter!"/>
    <x v="238"/>
    <n v="354"/>
    <n v="117"/>
    <n v="10830"/>
    <n v="10245"/>
    <n v="24"/>
    <s v="#EVRevolution"/>
    <s v="SustainabilityDrive"/>
    <n v="2637"/>
  </r>
  <r>
    <s v="P014"/>
    <s v="Facebook"/>
    <x v="21"/>
    <s v="Story"/>
    <s v="Check out our latest story on facebook!"/>
    <x v="239"/>
    <n v="555"/>
    <n v="131"/>
    <n v="33936"/>
    <n v="33802"/>
    <n v="265"/>
    <s v="#FutureOfDriving"/>
    <m/>
    <n v="4928"/>
  </r>
  <r>
    <s v="P025"/>
    <s v="Twitter"/>
    <x v="173"/>
    <s v="Carousel"/>
    <s v="Check out our latest carousel on twitter!"/>
    <x v="240"/>
    <n v="211"/>
    <n v="197"/>
    <n v="59432"/>
    <n v="59182"/>
    <n v="238"/>
    <s v="#EVRevolution"/>
    <m/>
    <n v="3536"/>
  </r>
  <r>
    <s v="P030"/>
    <s v="Instagram"/>
    <x v="174"/>
    <s v="Video"/>
    <s v="Check out our latest video on instagram!"/>
    <x v="241"/>
    <n v="39"/>
    <n v="78"/>
    <n v="55710"/>
    <n v="54808"/>
    <n v="93"/>
    <s v="#EVRevolution"/>
    <m/>
    <n v="3212"/>
  </r>
  <r>
    <s v="P039"/>
    <s v="Facebook"/>
    <x v="88"/>
    <s v="Image"/>
    <s v="Check out our latest image on facebook!"/>
    <x v="242"/>
    <n v="629"/>
    <n v="177"/>
    <n v="60588"/>
    <n v="59627"/>
    <n v="92"/>
    <s v="#TeslaCoInnovation"/>
    <m/>
    <n v="4370"/>
  </r>
  <r>
    <s v="P042"/>
    <s v="YouTube"/>
    <x v="175"/>
    <s v="Reel"/>
    <s v="Check out our latest reel on youtube!"/>
    <x v="243"/>
    <n v="820"/>
    <n v="333"/>
    <n v="12344"/>
    <n v="11496"/>
    <n v="241"/>
    <s v="#EVRevolution"/>
    <m/>
    <n v="2696"/>
  </r>
  <r>
    <s v="P044"/>
    <s v="Twitter"/>
    <x v="176"/>
    <s v="Image"/>
    <s v="Check out our latest image on twitter!"/>
    <x v="244"/>
    <n v="784"/>
    <n v="344"/>
    <n v="35370"/>
    <n v="34475"/>
    <n v="216"/>
    <s v="#TeslaCoInnovation"/>
    <m/>
    <n v="3486"/>
  </r>
  <r>
    <s v="P047"/>
    <s v="Twitter"/>
    <x v="177"/>
    <s v="Carousel"/>
    <s v="Check out our latest carousel on twitter!"/>
    <x v="245"/>
    <n v="752"/>
    <n v="153"/>
    <n v="21632"/>
    <n v="20792"/>
    <n v="127"/>
    <s v="#FutureOfDriving"/>
    <m/>
    <n v="3609"/>
  </r>
  <r>
    <s v="P048"/>
    <s v="Twitter"/>
    <x v="98"/>
    <s v="Story"/>
    <s v="Check out our latest story on twitter!"/>
    <x v="246"/>
    <n v="295"/>
    <n v="478"/>
    <n v="37050"/>
    <n v="36272"/>
    <n v="119"/>
    <s v="#TeslaCoInnovation"/>
    <m/>
    <n v="2723"/>
  </r>
  <r>
    <s v="P053"/>
    <s v="YouTube"/>
    <x v="177"/>
    <s v="Carousel"/>
    <s v="Check out our latest carousel on youtube!"/>
    <x v="247"/>
    <n v="639"/>
    <n v="43"/>
    <n v="4020"/>
    <n v="3144"/>
    <n v="11"/>
    <s v="#EVRevolution,#BetterWithTesla"/>
    <m/>
    <n v="1486"/>
  </r>
  <r>
    <s v="P059"/>
    <s v="Instagram"/>
    <x v="178"/>
    <s v="Text"/>
    <s v="Check out our latest text on instagram!"/>
    <x v="248"/>
    <n v="263"/>
    <n v="387"/>
    <n v="30520"/>
    <n v="30059"/>
    <n v="174"/>
    <s v="#EVRevolution"/>
    <m/>
    <n v="2830"/>
  </r>
  <r>
    <s v="P065"/>
    <s v="Instagram"/>
    <x v="179"/>
    <s v="Story"/>
    <s v="Check out our latest story on instagram!"/>
    <x v="249"/>
    <n v="501"/>
    <n v="99"/>
    <n v="20691"/>
    <n v="19987"/>
    <n v="289"/>
    <s v="#EVRevolution"/>
    <m/>
    <n v="2481"/>
  </r>
  <r>
    <s v="P068"/>
    <s v="Instagram"/>
    <x v="180"/>
    <s v="Story"/>
    <s v="Check out our latest story on instagram!"/>
    <x v="250"/>
    <n v="126"/>
    <n v="288"/>
    <n v="15660"/>
    <n v="15145"/>
    <n v="73"/>
    <s v="#EVRevolution"/>
    <m/>
    <n v="3024"/>
  </r>
  <r>
    <s v="P070"/>
    <s v="Facebook"/>
    <x v="181"/>
    <s v="Video"/>
    <s v="Check out our latest video on facebook!"/>
    <x v="251"/>
    <n v="772"/>
    <n v="400"/>
    <n v="3582"/>
    <n v="2988"/>
    <n v="43"/>
    <s v="#TeslaCoInnovation"/>
    <m/>
    <n v="1371"/>
  </r>
  <r>
    <s v="P077"/>
    <s v="Facebook"/>
    <x v="115"/>
    <s v="Story"/>
    <s v="Check out our latest story on facebook!"/>
    <x v="252"/>
    <n v="116"/>
    <n v="420"/>
    <n v="8743"/>
    <n v="8538"/>
    <n v="63"/>
    <s v="#TeslaCoInnovation"/>
    <m/>
    <n v="1785"/>
  </r>
  <r>
    <s v="P080"/>
    <s v="Instagram"/>
    <x v="104"/>
    <s v="Story"/>
    <s v="Check out our latest story on instagram!"/>
    <x v="253"/>
    <n v="892"/>
    <n v="103"/>
    <n v="39957"/>
    <n v="39466"/>
    <n v="28"/>
    <s v="#FutureOfDriving"/>
    <m/>
    <n v="3098"/>
  </r>
  <r>
    <s v="P083"/>
    <s v="YouTube"/>
    <x v="182"/>
    <s v="Video"/>
    <s v="Check out our latest video on youtube!"/>
    <x v="254"/>
    <n v="472"/>
    <n v="21"/>
    <n v="9846"/>
    <n v="9609"/>
    <n v="112"/>
    <s v="#EVRevolution"/>
    <m/>
    <n v="1587"/>
  </r>
  <r>
    <s v="P089"/>
    <s v="Twitter"/>
    <x v="183"/>
    <s v="Image"/>
    <s v="Check out our latest image on twitter!"/>
    <x v="255"/>
    <n v="249"/>
    <n v="152"/>
    <n v="15498"/>
    <n v="14800"/>
    <n v="180"/>
    <s v="#EVRevolution"/>
    <m/>
    <n v="2615"/>
  </r>
  <r>
    <s v="P096"/>
    <s v="Twitter"/>
    <x v="184"/>
    <s v="Image"/>
    <s v="Check out our latest image on twitter!"/>
    <x v="256"/>
    <n v="366"/>
    <n v="444"/>
    <n v="19808"/>
    <n v="19334"/>
    <n v="123"/>
    <s v="#FutureOfDriving"/>
    <m/>
    <n v="2048"/>
  </r>
  <r>
    <s v="P100"/>
    <s v="YouTube"/>
    <x v="36"/>
    <s v="Video"/>
    <s v="Check out our latest video on youtube!"/>
    <x v="257"/>
    <n v="92"/>
    <n v="424"/>
    <n v="24724"/>
    <n v="24333"/>
    <n v="52"/>
    <s v="#EVRevolution"/>
    <m/>
    <n v="2282"/>
  </r>
  <r>
    <s v="P107"/>
    <s v="YouTube"/>
    <x v="185"/>
    <s v="Image"/>
    <s v="Check out our latest image on youtube!"/>
    <x v="258"/>
    <n v="893"/>
    <n v="10"/>
    <n v="91808"/>
    <n v="91296"/>
    <n v="182"/>
    <s v="#TeslaCoInnovation"/>
    <m/>
    <n v="5735"/>
  </r>
  <r>
    <s v="P116"/>
    <s v="YouTube"/>
    <x v="186"/>
    <s v="Reel"/>
    <s v="Check out our latest reel on youtube!"/>
    <x v="259"/>
    <n v="186"/>
    <n v="458"/>
    <n v="25928"/>
    <n v="25081"/>
    <n v="131"/>
    <s v="#TeslaCoInnovation"/>
    <m/>
    <n v="4348"/>
  </r>
  <r>
    <s v="P119"/>
    <s v="Instagram"/>
    <x v="187"/>
    <s v="Reel"/>
    <s v="Check out our latest reel on instagram!"/>
    <x v="260"/>
    <n v="675"/>
    <n v="478"/>
    <n v="9850"/>
    <n v="8924"/>
    <n v="117"/>
    <s v="#FutureOfDriving"/>
    <m/>
    <n v="3123"/>
  </r>
  <r>
    <s v="P121"/>
    <s v="Instagram"/>
    <x v="113"/>
    <s v="Story"/>
    <s v="Check out our latest story on instagram!"/>
    <x v="13"/>
    <n v="701"/>
    <n v="412"/>
    <n v="4980"/>
    <n v="4185"/>
    <n v="185"/>
    <s v="#FutureOfDriving"/>
    <m/>
    <n v="1611"/>
  </r>
  <r>
    <s v="P126"/>
    <s v="Instagram"/>
    <x v="179"/>
    <s v="Carousel"/>
    <s v="Check out our latest carousel on instagram!"/>
    <x v="261"/>
    <n v="167"/>
    <n v="241"/>
    <n v="45738"/>
    <n v="45183"/>
    <n v="142"/>
    <s v="#FutureOfDriving"/>
    <m/>
    <n v="4566"/>
  </r>
  <r>
    <s v="P128"/>
    <s v="Twitter"/>
    <x v="183"/>
    <s v="Image"/>
    <s v="Check out our latest image on twitter!"/>
    <x v="262"/>
    <n v="106"/>
    <n v="291"/>
    <n v="27828"/>
    <n v="27217"/>
    <n v="102"/>
    <s v="#FutureOfDriving"/>
    <m/>
    <n v="3489"/>
  </r>
  <r>
    <s v="P129"/>
    <s v="Twitter"/>
    <x v="43"/>
    <s v="Text"/>
    <s v="Check out our latest text on twitter!"/>
    <x v="263"/>
    <n v="430"/>
    <n v="393"/>
    <n v="17176"/>
    <n v="16483"/>
    <n v="170"/>
    <s v="#TeslaCoInnovation"/>
    <m/>
    <n v="2970"/>
  </r>
  <r>
    <s v="P137"/>
    <s v="Facebook"/>
    <x v="6"/>
    <s v="Video"/>
    <s v="Check out our latest video on facebook!"/>
    <x v="264"/>
    <n v="94"/>
    <n v="37"/>
    <n v="15040"/>
    <n v="14639"/>
    <n v="277"/>
    <s v="#FutureOfDriving"/>
    <m/>
    <n v="3139"/>
  </r>
  <r>
    <s v="P141"/>
    <s v="Twitter"/>
    <x v="41"/>
    <s v="Image"/>
    <s v="Check out our latest image on twitter!"/>
    <x v="265"/>
    <n v="857"/>
    <n v="379"/>
    <n v="19020"/>
    <n v="18559"/>
    <n v="240"/>
    <s v="#FutureOfDriving"/>
    <m/>
    <n v="4406"/>
  </r>
  <r>
    <s v="P146"/>
    <s v="YouTube"/>
    <x v="188"/>
    <s v="Reel"/>
    <s v="Check out our latest reel on youtube!"/>
    <x v="266"/>
    <n v="772"/>
    <n v="142"/>
    <n v="18390"/>
    <n v="17875"/>
    <n v="200"/>
    <s v="#EVRevolution,#AnytimeIsTeslaTime"/>
    <m/>
    <n v="3979"/>
  </r>
  <r>
    <s v="P160"/>
    <s v="Twitter"/>
    <x v="75"/>
    <s v="Video"/>
    <s v="Check out our latest video on twitter!"/>
    <x v="267"/>
    <n v="209"/>
    <n v="484"/>
    <n v="19476"/>
    <n v="18654"/>
    <n v="20"/>
    <s v="#TeslaCoInnovation"/>
    <m/>
    <n v="1775"/>
  </r>
  <r>
    <s v="P162"/>
    <s v="Facebook"/>
    <x v="189"/>
    <s v="Story"/>
    <s v="Check out our latest story on facebook!"/>
    <x v="268"/>
    <n v="566"/>
    <n v="164"/>
    <n v="48020"/>
    <n v="47305"/>
    <n v="120"/>
    <s v="#FutureOfDriving"/>
    <m/>
    <n v="4160"/>
  </r>
  <r>
    <s v="P167"/>
    <s v="Instagram"/>
    <x v="157"/>
    <s v="Text"/>
    <s v="Check out our latest text on instagram!"/>
    <x v="269"/>
    <n v="818"/>
    <n v="56"/>
    <n v="57252"/>
    <n v="56378"/>
    <n v="150"/>
    <s v="#FutureOfDriving"/>
    <m/>
    <n v="5645"/>
  </r>
  <r>
    <s v="P174"/>
    <s v="Facebook"/>
    <x v="178"/>
    <s v="Text"/>
    <s v="Check out our latest text on facebook!"/>
    <x v="270"/>
    <n v="148"/>
    <n v="253"/>
    <n v="30624"/>
    <n v="30229"/>
    <n v="235"/>
    <s v="#EVRevolution"/>
    <m/>
    <n v="4229"/>
  </r>
  <r>
    <s v="P179"/>
    <s v="Facebook"/>
    <x v="84"/>
    <s v="Carousel"/>
    <s v="Check out our latest carousel on facebook!"/>
    <x v="271"/>
    <n v="667"/>
    <n v="395"/>
    <n v="64532"/>
    <n v="63550"/>
    <n v="292"/>
    <s v="#TeslaCoInnovation"/>
    <m/>
    <n v="4858"/>
  </r>
  <r>
    <s v="P185"/>
    <s v="Instagram"/>
    <x v="190"/>
    <s v="Carousel"/>
    <s v="Check out our latest carousel on instagram!"/>
    <x v="272"/>
    <n v="61"/>
    <n v="157"/>
    <n v="49753"/>
    <n v="49329"/>
    <n v="71"/>
    <s v="#EVRevolution"/>
    <m/>
    <n v="4741"/>
  </r>
  <r>
    <s v="P190"/>
    <s v="YouTube"/>
    <x v="191"/>
    <s v="Text"/>
    <s v="Check out our latest text on youtube!"/>
    <x v="273"/>
    <n v="213"/>
    <n v="19"/>
    <n v="39260"/>
    <n v="38771"/>
    <n v="145"/>
    <s v="#FutureOfDriving"/>
    <m/>
    <n v="2195"/>
  </r>
  <r>
    <s v="P192"/>
    <s v="Instagram"/>
    <x v="192"/>
    <s v="Video"/>
    <s v="Check out our latest video on instagram!"/>
    <x v="274"/>
    <n v="464"/>
    <n v="394"/>
    <n v="14112"/>
    <n v="13588"/>
    <n v="272"/>
    <s v="#EVRevolution"/>
    <m/>
    <n v="2034"/>
  </r>
  <r>
    <s v="P217"/>
    <s v="Facebook"/>
    <x v="23"/>
    <s v="Image"/>
    <s v="Check out our latest image on facebook!"/>
    <x v="275"/>
    <n v="931"/>
    <n v="230"/>
    <n v="92120"/>
    <n v="91440"/>
    <n v="56"/>
    <s v="#TeslaCoInnovation"/>
    <m/>
    <n v="5767"/>
  </r>
  <r>
    <s v="P220"/>
    <s v="Instagram"/>
    <x v="80"/>
    <s v="Story"/>
    <s v="Check out our latest story on instagram!"/>
    <x v="276"/>
    <n v="897"/>
    <n v="85"/>
    <n v="588"/>
    <n v="8"/>
    <n v="12"/>
    <s v="#EVRevolution"/>
    <m/>
    <n v="1066"/>
  </r>
  <r>
    <s v="P221"/>
    <s v="Facebook"/>
    <x v="64"/>
    <s v="Video"/>
    <s v="Check out our latest video on facebook!"/>
    <x v="277"/>
    <n v="111"/>
    <n v="420"/>
    <n v="31171"/>
    <n v="30565"/>
    <n v="23"/>
    <s v="#TeslaCoInnovation"/>
    <m/>
    <n v="4984"/>
  </r>
  <r>
    <s v="P223"/>
    <s v="Twitter"/>
    <x v="22"/>
    <s v="Image"/>
    <s v="Check out our latest image on twitter!"/>
    <x v="278"/>
    <n v="277"/>
    <n v="118"/>
    <n v="60084"/>
    <n v="59842"/>
    <n v="252"/>
    <s v="#TeslaCoInnovation"/>
    <m/>
    <n v="3733"/>
  </r>
  <r>
    <s v="P225"/>
    <s v="Twitter"/>
    <x v="24"/>
    <s v="Carousel"/>
    <s v="Check out our latest carousel on twitter!"/>
    <x v="279"/>
    <n v="325"/>
    <n v="32"/>
    <n v="88768"/>
    <n v="87833"/>
    <n v="118"/>
    <s v="#EVRevolution"/>
    <m/>
    <n v="5029"/>
  </r>
  <r>
    <s v="P226"/>
    <s v="Instagram"/>
    <x v="193"/>
    <s v="Carousel"/>
    <s v="Check out our latest carousel on instagram!"/>
    <x v="107"/>
    <n v="164"/>
    <n v="318"/>
    <n v="8705"/>
    <n v="8272"/>
    <n v="121"/>
    <s v="#TeslaCoInnovation"/>
    <m/>
    <n v="2223"/>
  </r>
  <r>
    <s v="P229"/>
    <s v="Instagram"/>
    <x v="49"/>
    <s v="Carousel"/>
    <s v="Check out our latest carousel on instagram!"/>
    <x v="280"/>
    <n v="694"/>
    <n v="289"/>
    <n v="43191"/>
    <n v="42228"/>
    <n v="118"/>
    <s v="#TeslaCoInnovation"/>
    <m/>
    <n v="5782"/>
  </r>
  <r>
    <s v="P234"/>
    <s v="Facebook"/>
    <x v="194"/>
    <s v="Text"/>
    <s v="Check out our latest text on facebook!"/>
    <x v="281"/>
    <n v="465"/>
    <n v="99"/>
    <n v="24168"/>
    <n v="23719"/>
    <n v="42"/>
    <s v="#TeslaCoInnovation"/>
    <m/>
    <n v="1836"/>
  </r>
  <r>
    <s v="P239"/>
    <s v="YouTube"/>
    <x v="177"/>
    <s v="Text"/>
    <s v="Check out our latest text on youtube!"/>
    <x v="282"/>
    <n v="942"/>
    <n v="118"/>
    <n v="20940"/>
    <n v="20471"/>
    <n v="102"/>
    <s v="#FutureOfDriving"/>
    <m/>
    <n v="5248"/>
  </r>
  <r>
    <s v="P247"/>
    <s v="Facebook"/>
    <x v="195"/>
    <s v="Reel"/>
    <s v="Check out our latest reel on facebook!"/>
    <x v="283"/>
    <n v="266"/>
    <n v="8"/>
    <n v="35640"/>
    <n v="34850"/>
    <n v="208"/>
    <s v="#FutureOfDriving,#EVRevolution,#BetterWithTesla"/>
    <m/>
    <n v="4234"/>
  </r>
  <r>
    <s v="P248"/>
    <s v="Facebook"/>
    <x v="135"/>
    <s v="Story"/>
    <s v="Check out our latest story on facebook!"/>
    <x v="284"/>
    <n v="126"/>
    <n v="153"/>
    <n v="4430"/>
    <n v="4037"/>
    <n v="212"/>
    <s v="#EVRevolution"/>
    <m/>
    <n v="1165"/>
  </r>
  <r>
    <s v="P250"/>
    <s v="Facebook"/>
    <x v="178"/>
    <s v="Reel"/>
    <s v="Check out our latest reel on facebook!"/>
    <x v="285"/>
    <n v="935"/>
    <n v="274"/>
    <n v="68634"/>
    <n v="68488"/>
    <n v="251"/>
    <s v="#FutureOfDriving"/>
    <m/>
    <n v="5022"/>
  </r>
  <r>
    <s v="P251"/>
    <s v="Instagram"/>
    <x v="89"/>
    <s v="Carousel"/>
    <s v="Check out our latest carousel on instagram!"/>
    <x v="286"/>
    <n v="796"/>
    <n v="387"/>
    <n v="22032"/>
    <n v="21869"/>
    <n v="189"/>
    <s v="#FutureOfDriving"/>
    <m/>
    <n v="2560"/>
  </r>
  <r>
    <s v="P253"/>
    <s v="Twitter"/>
    <x v="196"/>
    <s v="Reel"/>
    <s v="Check out our latest reel on twitter!"/>
    <x v="287"/>
    <n v="593"/>
    <n v="228"/>
    <n v="53074"/>
    <n v="52613"/>
    <n v="205"/>
    <s v="#EVRevolution"/>
    <m/>
    <n v="4612"/>
  </r>
  <r>
    <s v="P262"/>
    <s v="YouTube"/>
    <x v="165"/>
    <s v="Image"/>
    <s v="Check out our latest image on youtube!"/>
    <x v="288"/>
    <n v="238"/>
    <n v="36"/>
    <n v="9648"/>
    <n v="9417"/>
    <n v="237"/>
    <s v="#TeslaCoInnovation"/>
    <m/>
    <n v="1480"/>
  </r>
  <r>
    <s v="P267"/>
    <s v="Twitter"/>
    <x v="191"/>
    <s v="Reel"/>
    <s v="Check out our latest reel on twitter!"/>
    <x v="289"/>
    <n v="66"/>
    <n v="31"/>
    <n v="66992"/>
    <n v="66614"/>
    <n v="62"/>
    <s v="#FutureOfDriving"/>
    <m/>
    <n v="4284"/>
  </r>
  <r>
    <s v="P285"/>
    <s v="YouTube"/>
    <x v="124"/>
    <s v="Text"/>
    <s v="Check out our latest text on youtube!"/>
    <x v="290"/>
    <n v="794"/>
    <n v="77"/>
    <n v="36189"/>
    <n v="35505"/>
    <n v="174"/>
    <s v="#EVRevolution"/>
    <m/>
    <n v="4892"/>
  </r>
  <r>
    <s v="P289"/>
    <s v="Facebook"/>
    <x v="157"/>
    <s v="Carousel"/>
    <s v="Check out our latest carousel on facebook!"/>
    <x v="291"/>
    <n v="33"/>
    <n v="430"/>
    <n v="44016"/>
    <n v="43415"/>
    <n v="129"/>
    <s v="#FutureOfDriving"/>
    <m/>
    <n v="3214"/>
  </r>
  <r>
    <s v="P292"/>
    <s v="Facebook"/>
    <x v="197"/>
    <s v="Text"/>
    <s v="Check out our latest text on facebook!"/>
    <x v="292"/>
    <n v="297"/>
    <n v="345"/>
    <n v="12320"/>
    <n v="11978"/>
    <n v="238"/>
    <s v="#TeslaCoInnovation,#AnytimeIsTeslaTime"/>
    <m/>
    <n v="15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122240-1885-414B-A7E2-2B0E3FA8CB03}" name="PivotTable3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Platform">
  <location ref="J3:K8" firstHeaderRow="1" firstDataRow="1" firstDataCol="1"/>
  <pivotFields count="7">
    <pivotField showAll="0"/>
    <pivotField axis="axisRow" showAll="0" measureFilter="1" sortType="descending">
      <items count="5">
        <item x="1"/>
        <item x="0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>
      <items count="173">
        <item x="74"/>
        <item x="163"/>
        <item x="68"/>
        <item x="55"/>
        <item x="65"/>
        <item x="143"/>
        <item x="99"/>
        <item x="168"/>
        <item x="147"/>
        <item x="21"/>
        <item x="81"/>
        <item x="120"/>
        <item x="106"/>
        <item x="66"/>
        <item x="112"/>
        <item x="61"/>
        <item x="5"/>
        <item x="161"/>
        <item x="8"/>
        <item x="153"/>
        <item x="115"/>
        <item x="160"/>
        <item x="15"/>
        <item x="98"/>
        <item x="89"/>
        <item x="94"/>
        <item x="129"/>
        <item x="23"/>
        <item x="108"/>
        <item x="109"/>
        <item x="7"/>
        <item x="152"/>
        <item x="44"/>
        <item x="116"/>
        <item x="64"/>
        <item x="83"/>
        <item x="58"/>
        <item x="35"/>
        <item x="11"/>
        <item x="14"/>
        <item x="166"/>
        <item x="121"/>
        <item x="24"/>
        <item x="95"/>
        <item x="130"/>
        <item x="53"/>
        <item x="72"/>
        <item x="122"/>
        <item x="49"/>
        <item x="169"/>
        <item x="6"/>
        <item x="39"/>
        <item x="32"/>
        <item x="3"/>
        <item x="101"/>
        <item x="133"/>
        <item x="34"/>
        <item x="79"/>
        <item x="17"/>
        <item x="154"/>
        <item x="117"/>
        <item x="137"/>
        <item x="27"/>
        <item x="125"/>
        <item x="22"/>
        <item x="91"/>
        <item x="151"/>
        <item x="96"/>
        <item x="157"/>
        <item x="142"/>
        <item x="69"/>
        <item x="1"/>
        <item x="141"/>
        <item x="92"/>
        <item x="167"/>
        <item x="80"/>
        <item x="118"/>
        <item x="110"/>
        <item x="30"/>
        <item x="77"/>
        <item x="43"/>
        <item x="102"/>
        <item x="31"/>
        <item x="146"/>
        <item x="165"/>
        <item x="114"/>
        <item x="84"/>
        <item x="162"/>
        <item x="47"/>
        <item x="78"/>
        <item x="73"/>
        <item x="41"/>
        <item x="85"/>
        <item x="164"/>
        <item x="37"/>
        <item x="18"/>
        <item x="93"/>
        <item x="40"/>
        <item x="67"/>
        <item x="148"/>
        <item x="97"/>
        <item x="51"/>
        <item x="25"/>
        <item x="155"/>
        <item x="75"/>
        <item x="158"/>
        <item x="135"/>
        <item x="103"/>
        <item x="156"/>
        <item x="159"/>
        <item x="171"/>
        <item x="82"/>
        <item x="12"/>
        <item x="123"/>
        <item x="127"/>
        <item x="50"/>
        <item x="139"/>
        <item x="46"/>
        <item x="131"/>
        <item x="90"/>
        <item x="62"/>
        <item x="100"/>
        <item x="150"/>
        <item x="170"/>
        <item x="33"/>
        <item x="107"/>
        <item x="134"/>
        <item x="36"/>
        <item x="29"/>
        <item x="28"/>
        <item x="87"/>
        <item x="52"/>
        <item x="126"/>
        <item x="0"/>
        <item x="104"/>
        <item x="9"/>
        <item x="63"/>
        <item x="10"/>
        <item x="111"/>
        <item x="76"/>
        <item x="2"/>
        <item x="113"/>
        <item x="105"/>
        <item x="145"/>
        <item x="42"/>
        <item x="26"/>
        <item x="60"/>
        <item x="136"/>
        <item x="144"/>
        <item x="86"/>
        <item x="19"/>
        <item x="20"/>
        <item x="45"/>
        <item x="71"/>
        <item x="57"/>
        <item x="128"/>
        <item x="48"/>
        <item x="4"/>
        <item x="132"/>
        <item x="54"/>
        <item x="13"/>
        <item x="59"/>
        <item x="119"/>
        <item x="56"/>
        <item x="70"/>
        <item x="16"/>
        <item x="140"/>
        <item x="138"/>
        <item x="88"/>
        <item x="38"/>
        <item x="149"/>
        <item x="124"/>
        <item t="default"/>
      </items>
    </pivotField>
    <pivotField showAll="0"/>
  </pivotFields>
  <rowFields count="1">
    <field x="1"/>
  </rowFields>
  <rowItems count="5">
    <i>
      <x v="1"/>
    </i>
    <i>
      <x v="2"/>
    </i>
    <i>
      <x/>
    </i>
    <i>
      <x v="3"/>
    </i>
    <i t="grand">
      <x/>
    </i>
  </rowItems>
  <colItems count="1">
    <i/>
  </colItems>
  <dataFields count="1">
    <dataField name="Sum of Engagement_Rate" fld="5" baseField="0" baseItem="0"/>
  </dataFields>
  <pivotTableStyleInfo name="PivotStyleLight16" showRowHeaders="1" showColHeaders="1" showRowStripes="0" showColStripes="0" showLastColumn="1"/>
  <filters count="1">
    <filter fld="1" type="count" evalOrder="-1" id="28" iMeasureFld="0">
      <autoFilter ref="A1">
        <filterColumn colId="0">
          <top10 top="0" val="334" filterVal="33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DD566B-9A66-CC48-9117-E906B5A8AC09}" name="PivotTable4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Platform">
  <location ref="J11:K16" firstHeaderRow="1" firstDataRow="1" firstDataCol="1"/>
  <pivotFields count="8">
    <pivotField showAll="0"/>
    <pivotField axis="axisRow" showAll="0" sortType="descending">
      <items count="5">
        <item x="1"/>
        <item x="0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dataField="1" numFmtId="165" showAll="0"/>
  </pivotFields>
  <rowFields count="1">
    <field x="1"/>
  </rowFields>
  <rowItems count="5">
    <i>
      <x v="3"/>
    </i>
    <i>
      <x v="1"/>
    </i>
    <i>
      <x v="2"/>
    </i>
    <i>
      <x/>
    </i>
    <i t="grand">
      <x/>
    </i>
  </rowItems>
  <colItems count="1">
    <i/>
  </colItems>
  <dataFields count="1">
    <dataField name="Sum of Growth Rate" fld="7" baseField="0" baseItem="0" numFmtId="2"/>
  </dataFields>
  <formats count="1">
    <format dxfId="3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FE4AE6-8FDE-A641-9083-ABAD2CE2CFF7}" name="PivotTable1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P20:T220" firstHeaderRow="0" firstDataRow="1" firstDataCol="1"/>
  <pivotFields count="15">
    <pivotField showAll="0"/>
    <pivotField showAll="0"/>
    <pivotField axis="axisRow" showAll="0">
      <items count="199">
        <item x="194"/>
        <item x="80"/>
        <item x="150"/>
        <item x="188"/>
        <item x="59"/>
        <item x="130"/>
        <item x="144"/>
        <item x="111"/>
        <item x="83"/>
        <item x="104"/>
        <item x="13"/>
        <item x="19"/>
        <item x="146"/>
        <item x="94"/>
        <item x="24"/>
        <item x="185"/>
        <item x="178"/>
        <item x="137"/>
        <item x="30"/>
        <item x="1"/>
        <item x="33"/>
        <item x="62"/>
        <item x="49"/>
        <item x="85"/>
        <item x="73"/>
        <item x="158"/>
        <item x="134"/>
        <item x="84"/>
        <item x="164"/>
        <item x="124"/>
        <item x="43"/>
        <item x="117"/>
        <item x="58"/>
        <item x="11"/>
        <item x="25"/>
        <item x="113"/>
        <item x="6"/>
        <item x="148"/>
        <item x="196"/>
        <item x="90"/>
        <item x="193"/>
        <item x="65"/>
        <item x="20"/>
        <item x="133"/>
        <item x="109"/>
        <item x="71"/>
        <item x="39"/>
        <item x="53"/>
        <item x="4"/>
        <item x="126"/>
        <item x="7"/>
        <item x="159"/>
        <item x="75"/>
        <item x="44"/>
        <item x="195"/>
        <item x="97"/>
        <item x="41"/>
        <item x="106"/>
        <item x="10"/>
        <item x="154"/>
        <item x="5"/>
        <item x="184"/>
        <item x="77"/>
        <item x="79"/>
        <item x="140"/>
        <item x="110"/>
        <item x="92"/>
        <item x="155"/>
        <item x="14"/>
        <item x="91"/>
        <item x="191"/>
        <item x="66"/>
        <item x="32"/>
        <item x="108"/>
        <item x="123"/>
        <item x="168"/>
        <item x="182"/>
        <item x="129"/>
        <item x="63"/>
        <item x="57"/>
        <item x="9"/>
        <item x="27"/>
        <item x="3"/>
        <item x="86"/>
        <item x="37"/>
        <item x="56"/>
        <item x="18"/>
        <item x="96"/>
        <item x="8"/>
        <item x="67"/>
        <item x="128"/>
        <item x="99"/>
        <item x="61"/>
        <item x="151"/>
        <item x="22"/>
        <item x="15"/>
        <item x="197"/>
        <item x="2"/>
        <item x="29"/>
        <item x="52"/>
        <item x="114"/>
        <item x="88"/>
        <item x="169"/>
        <item x="157"/>
        <item x="192"/>
        <item x="102"/>
        <item x="23"/>
        <item x="72"/>
        <item x="180"/>
        <item x="149"/>
        <item x="60"/>
        <item x="48"/>
        <item x="101"/>
        <item x="120"/>
        <item x="50"/>
        <item x="78"/>
        <item x="170"/>
        <item x="116"/>
        <item x="76"/>
        <item x="0"/>
        <item x="172"/>
        <item x="81"/>
        <item x="119"/>
        <item x="69"/>
        <item x="145"/>
        <item x="138"/>
        <item x="103"/>
        <item x="183"/>
        <item x="190"/>
        <item x="35"/>
        <item x="125"/>
        <item x="28"/>
        <item x="161"/>
        <item x="165"/>
        <item x="45"/>
        <item x="68"/>
        <item x="51"/>
        <item x="127"/>
        <item x="46"/>
        <item x="135"/>
        <item x="152"/>
        <item x="156"/>
        <item x="187"/>
        <item x="36"/>
        <item x="171"/>
        <item x="87"/>
        <item x="21"/>
        <item x="141"/>
        <item x="31"/>
        <item x="167"/>
        <item x="177"/>
        <item x="174"/>
        <item x="139"/>
        <item x="176"/>
        <item x="107"/>
        <item x="115"/>
        <item x="175"/>
        <item x="166"/>
        <item x="142"/>
        <item x="55"/>
        <item x="98"/>
        <item x="105"/>
        <item x="186"/>
        <item x="162"/>
        <item x="74"/>
        <item x="131"/>
        <item x="64"/>
        <item x="26"/>
        <item x="112"/>
        <item x="47"/>
        <item x="89"/>
        <item x="179"/>
        <item x="54"/>
        <item x="189"/>
        <item x="181"/>
        <item x="95"/>
        <item x="100"/>
        <item x="16"/>
        <item x="121"/>
        <item x="118"/>
        <item x="173"/>
        <item x="38"/>
        <item x="147"/>
        <item x="93"/>
        <item x="12"/>
        <item x="160"/>
        <item x="17"/>
        <item x="70"/>
        <item x="163"/>
        <item x="34"/>
        <item x="143"/>
        <item x="136"/>
        <item x="122"/>
        <item x="132"/>
        <item x="153"/>
        <item x="42"/>
        <item x="82"/>
        <item x="40"/>
        <item t="default"/>
      </items>
    </pivotField>
    <pivotField showAll="0"/>
    <pivotField showAll="0"/>
    <pivotField dataField="1" showAll="0">
      <items count="294">
        <item x="58"/>
        <item x="163"/>
        <item x="79"/>
        <item x="276"/>
        <item x="186"/>
        <item x="215"/>
        <item x="214"/>
        <item x="251"/>
        <item x="96"/>
        <item x="223"/>
        <item x="35"/>
        <item x="127"/>
        <item x="193"/>
        <item x="78"/>
        <item x="146"/>
        <item x="156"/>
        <item x="11"/>
        <item x="120"/>
        <item x="181"/>
        <item x="13"/>
        <item x="152"/>
        <item x="41"/>
        <item x="234"/>
        <item x="95"/>
        <item x="85"/>
        <item x="65"/>
        <item x="17"/>
        <item x="80"/>
        <item x="76"/>
        <item x="32"/>
        <item x="247"/>
        <item x="157"/>
        <item x="292"/>
        <item x="284"/>
        <item x="57"/>
        <item x="217"/>
        <item x="99"/>
        <item x="34"/>
        <item x="184"/>
        <item x="190"/>
        <item x="211"/>
        <item x="130"/>
        <item x="145"/>
        <item x="91"/>
        <item x="175"/>
        <item x="23"/>
        <item x="267"/>
        <item x="254"/>
        <item x="182"/>
        <item x="189"/>
        <item x="45"/>
        <item x="2"/>
        <item x="274"/>
        <item x="222"/>
        <item x="288"/>
        <item x="185"/>
        <item x="256"/>
        <item x="252"/>
        <item x="155"/>
        <item x="195"/>
        <item x="281"/>
        <item x="62"/>
        <item x="83"/>
        <item x="286"/>
        <item x="7"/>
        <item x="38"/>
        <item x="68"/>
        <item x="66"/>
        <item x="0"/>
        <item x="108"/>
        <item x="154"/>
        <item x="243"/>
        <item x="166"/>
        <item x="177"/>
        <item x="197"/>
        <item x="118"/>
        <item x="87"/>
        <item x="53"/>
        <item x="188"/>
        <item x="125"/>
        <item x="20"/>
        <item x="107"/>
        <item x="22"/>
        <item x="257"/>
        <item x="173"/>
        <item x="90"/>
        <item x="36"/>
        <item x="64"/>
        <item x="191"/>
        <item x="63"/>
        <item x="221"/>
        <item x="92"/>
        <item x="229"/>
        <item x="207"/>
        <item x="249"/>
        <item x="49"/>
        <item x="136"/>
        <item x="246"/>
        <item x="170"/>
        <item x="74"/>
        <item x="273"/>
        <item x="260"/>
        <item x="205"/>
        <item x="202"/>
        <item x="178"/>
        <item x="102"/>
        <item x="253"/>
        <item x="235"/>
        <item x="142"/>
        <item x="159"/>
        <item x="263"/>
        <item x="183"/>
        <item x="238"/>
        <item x="54"/>
        <item x="248"/>
        <item x="124"/>
        <item x="255"/>
        <item x="93"/>
        <item x="6"/>
        <item x="139"/>
        <item x="137"/>
        <item x="244"/>
        <item x="224"/>
        <item x="171"/>
        <item x="24"/>
        <item x="199"/>
        <item x="148"/>
        <item x="126"/>
        <item x="52"/>
        <item x="113"/>
        <item x="162"/>
        <item x="250"/>
        <item x="46"/>
        <item x="69"/>
        <item x="158"/>
        <item x="220"/>
        <item x="245"/>
        <item x="134"/>
        <item x="147"/>
        <item x="19"/>
        <item x="291"/>
        <item x="55"/>
        <item x="48"/>
        <item x="9"/>
        <item x="60"/>
        <item x="201"/>
        <item x="114"/>
        <item x="56"/>
        <item x="150"/>
        <item x="4"/>
        <item x="264"/>
        <item x="119"/>
        <item x="123"/>
        <item x="266"/>
        <item x="128"/>
        <item x="82"/>
        <item x="160"/>
        <item x="262"/>
        <item x="241"/>
        <item x="84"/>
        <item x="240"/>
        <item x="204"/>
        <item x="179"/>
        <item x="219"/>
        <item x="168"/>
        <item x="265"/>
        <item x="196"/>
        <item x="98"/>
        <item x="28"/>
        <item x="144"/>
        <item x="138"/>
        <item x="278"/>
        <item x="140"/>
        <item x="29"/>
        <item x="169"/>
        <item x="8"/>
        <item x="109"/>
        <item x="192"/>
        <item x="268"/>
        <item x="135"/>
        <item x="237"/>
        <item x="50"/>
        <item x="133"/>
        <item x="231"/>
        <item x="1"/>
        <item x="21"/>
        <item x="242"/>
        <item x="165"/>
        <item x="81"/>
        <item x="227"/>
        <item x="161"/>
        <item x="230"/>
        <item x="73"/>
        <item x="72"/>
        <item x="97"/>
        <item x="131"/>
        <item x="259"/>
        <item x="27"/>
        <item x="149"/>
        <item x="18"/>
        <item x="228"/>
        <item x="39"/>
        <item x="33"/>
        <item x="105"/>
        <item x="121"/>
        <item x="116"/>
        <item x="287"/>
        <item x="271"/>
        <item x="26"/>
        <item x="67"/>
        <item x="25"/>
        <item x="200"/>
        <item x="285"/>
        <item x="218"/>
        <item x="270"/>
        <item x="115"/>
        <item x="194"/>
        <item x="151"/>
        <item x="3"/>
        <item x="172"/>
        <item x="283"/>
        <item x="51"/>
        <item x="15"/>
        <item x="290"/>
        <item x="132"/>
        <item x="5"/>
        <item x="187"/>
        <item x="208"/>
        <item x="40"/>
        <item x="261"/>
        <item x="70"/>
        <item x="12"/>
        <item x="104"/>
        <item x="289"/>
        <item x="282"/>
        <item x="203"/>
        <item x="44"/>
        <item x="117"/>
        <item x="239"/>
        <item x="94"/>
        <item x="233"/>
        <item x="88"/>
        <item x="86"/>
        <item x="209"/>
        <item x="112"/>
        <item x="226"/>
        <item x="103"/>
        <item x="30"/>
        <item x="16"/>
        <item x="14"/>
        <item x="174"/>
        <item x="71"/>
        <item x="277"/>
        <item x="47"/>
        <item x="143"/>
        <item x="59"/>
        <item x="232"/>
        <item x="122"/>
        <item x="272"/>
        <item x="75"/>
        <item x="164"/>
        <item x="43"/>
        <item x="275"/>
        <item x="198"/>
        <item x="101"/>
        <item x="236"/>
        <item x="212"/>
        <item x="279"/>
        <item x="216"/>
        <item x="61"/>
        <item x="225"/>
        <item x="111"/>
        <item x="129"/>
        <item x="180"/>
        <item x="100"/>
        <item x="269"/>
        <item x="141"/>
        <item x="110"/>
        <item x="31"/>
        <item x="280"/>
        <item x="210"/>
        <item x="37"/>
        <item x="258"/>
        <item x="176"/>
        <item x="77"/>
        <item x="42"/>
        <item x="89"/>
        <item x="153"/>
        <item x="10"/>
        <item x="167"/>
        <item x="206"/>
        <item x="213"/>
        <item x="106"/>
        <item t="default"/>
      </items>
    </pivotField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axis="axisRow" showAll="0">
      <items count="2">
        <item x="0"/>
        <item t="default"/>
      </items>
    </pivotField>
  </pivotFields>
  <rowFields count="2">
    <field x="14"/>
    <field x="2"/>
  </rowFields>
  <rowItems count="200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Likes" fld="5" baseField="0" baseItem="0"/>
    <dataField name="Sum of Shares" fld="6" baseField="0" baseItem="0"/>
    <dataField name="Sum of Comments" fld="7" baseField="0" baseItem="0"/>
    <dataField name="Sum of Engagement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E7B37F4-0E8D-44C5-90F2-42062051740F}" name="Table8" displayName="Table8" ref="A1:H201" totalsRowShown="0" headerRowDxfId="34" dataDxfId="33">
  <autoFilter ref="A1:H201" xr:uid="{9E7B37F4-0E8D-44C5-90F2-42062051740F}"/>
  <tableColumns count="8">
    <tableColumn id="1" xr3:uid="{DBB32F51-8163-4C84-8350-C30372DBAD4E}" name="Week_Start_Date" dataDxfId="32"/>
    <tableColumn id="2" xr3:uid="{67217846-6BD9-4377-A518-18767BD02501}" name="Platform" dataDxfId="31"/>
    <tableColumn id="3" xr3:uid="{B45DAC64-22CC-45EF-A8FF-C0F10747E5E8}" name="New_Followers" dataDxfId="30"/>
    <tableColumn id="4" xr3:uid="{3CCED78B-FB55-4476-A439-EA2B5719E657}" name="Unfollows" dataDxfId="29"/>
    <tableColumn id="5" xr3:uid="{45FD0FB9-D883-4474-8748-A8C15131D978}" name="Total_Followers" dataDxfId="28"/>
    <tableColumn id="6" xr3:uid="{7FF90622-E2EA-4366-92CE-A2E418034B18}" name="Engagement_Rate" dataDxfId="27"/>
    <tableColumn id="7" xr3:uid="{A2D1434D-1B57-4520-B2B7-215F93B3383E}" name="Ad_Spend" dataDxfId="26"/>
    <tableColumn id="8" xr3:uid="{449951A6-3C06-4221-9689-40125F0A5C60}" name="Growth Rate" dataDxfId="25">
      <calculatedColumnFormula>(E6-E2)/E2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ACC59D-113E-B84E-AB5B-023ADB14D94E}" name="Table4" displayName="Table4" ref="V19:Z218" totalsRowShown="0">
  <autoFilter ref="V19:Z218" xr:uid="{D7ACC59D-113E-B84E-AB5B-023ADB14D94E}"/>
  <tableColumns count="5">
    <tableColumn id="1" xr3:uid="{BF7AD643-D24D-854F-9388-9A9F6DEF03E8}" name="Row Labels"/>
    <tableColumn id="2" xr3:uid="{D19689EA-C33D-F141-B6DA-D3D8B348292D}" name="Sum of Likes"/>
    <tableColumn id="3" xr3:uid="{9CC0A1F4-3177-3849-99F8-E23619299CE4}" name="Sum of Shares"/>
    <tableColumn id="4" xr3:uid="{207BBB99-648E-3D43-8ABA-F3703986211E}" name="Sum of Comments"/>
    <tableColumn id="5" xr3:uid="{C6A273F2-51A7-744B-9586-9461C1998037}" name="Sum of Engagement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65CCF8-050D-45AD-B5C4-C7002B541B99}" name="posts1" displayName="posts1" ref="A1:N301" totalsRowShown="0" headerRowDxfId="24" dataDxfId="23">
  <autoFilter ref="A1:N301" xr:uid="{EC65CCF8-050D-45AD-B5C4-C7002B541B99}"/>
  <tableColumns count="14">
    <tableColumn id="1" xr3:uid="{5DAC3EF5-DEC1-4463-8620-2339B0D882A8}" name="Post ID" dataDxfId="22"/>
    <tableColumn id="2" xr3:uid="{69CB0E3B-C17B-46F0-BD85-BC806C84A3AD}" name="Platform" dataDxfId="21"/>
    <tableColumn id="3" xr3:uid="{865FBD5C-48AA-4390-B5E9-C2359B77AB09}" name="Date" dataDxfId="20"/>
    <tableColumn id="4" xr3:uid="{459BE71D-F63F-4D08-B444-56B09E6F3D9A}" name="Content Type" dataDxfId="19"/>
    <tableColumn id="5" xr3:uid="{4CAC656B-8084-47D6-BB30-E699FEF16384}" name="Post Text" dataDxfId="18"/>
    <tableColumn id="6" xr3:uid="{819B8307-6DF3-47FE-8D41-CAB38AD8D150}" name="Likes" dataDxfId="17"/>
    <tableColumn id="7" xr3:uid="{1814C196-6490-4396-B29F-67342CE1113A}" name="Shares" dataDxfId="16"/>
    <tableColumn id="8" xr3:uid="{7494B31D-BC89-4E9B-B0BD-FDC00E87B702}" name="Comments" dataDxfId="15"/>
    <tableColumn id="9" xr3:uid="{462101E8-A9C0-4277-9E28-DA6CAD0D0356}" name="Impressions" dataDxfId="14"/>
    <tableColumn id="10" xr3:uid="{F31CBBD4-C3E9-4C74-BE34-A950EF1626FF}" name="Reach" dataDxfId="13"/>
    <tableColumn id="11" xr3:uid="{E1B886AE-7DC1-457F-81F6-25CBAA80ED83}" name="Clicks" dataDxfId="12"/>
    <tableColumn id="12" xr3:uid="{FECD2721-E129-4F07-89A7-13BE160334FA}" name="Hashtags Used" dataDxfId="11"/>
    <tableColumn id="13" xr3:uid="{B39C3EDD-0C91-42E7-A13C-5FE279258EE9}" name="Campaign_Name"/>
    <tableColumn id="14" xr3:uid="{2307E1E6-D2B3-40DC-8BB4-E63AFB756189}" name="Engagement">
      <calculatedColumnFormula>F2+G2+H2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5B8F76-30FB-4F3F-B81A-E7C5B89FD14B}" name="posts2" displayName="posts2" ref="A1:I201" totalsRowShown="0" headerRowDxfId="10" dataDxfId="9">
  <autoFilter ref="A1:I201" xr:uid="{775B8F76-30FB-4F3F-B81A-E7C5B89FD14B}"/>
  <tableColumns count="9">
    <tableColumn id="1" xr3:uid="{5348A7A2-EEE3-4C22-AC52-A393F4AF18B7}" name="Week_Start_Date" dataDxfId="8"/>
    <tableColumn id="2" xr3:uid="{8BAF5991-5416-4A1B-B6CA-0296E22DDAD7}" name="Platform" dataDxfId="7"/>
    <tableColumn id="3" xr3:uid="{84265E0B-4A68-4382-BFEF-D9EDEB043644}" name="New_Followers" dataDxfId="6"/>
    <tableColumn id="4" xr3:uid="{0597C99E-04EE-4365-985A-FD0956AE5354}" name="Unfollows" dataDxfId="5"/>
    <tableColumn id="5" xr3:uid="{AC5EEDE1-59B4-455A-8496-3FB08E05532A}" name="Total_Followers" dataDxfId="4"/>
    <tableColumn id="6" xr3:uid="{49AE7337-EE1C-4EBA-8B2C-E91881F3BA86}" name="Engagement_Rate" dataDxfId="3"/>
    <tableColumn id="7" xr3:uid="{6768B54C-009C-47E0-ABDD-BF47B58F9478}" name="Ad_Spend" dataDxfId="2"/>
    <tableColumn id="8" xr3:uid="{6815DFE9-E6E9-4E19-8AE7-387979F1A9A3}" name="Net Growth" dataDxfId="1" dataCellStyle="Percent">
      <calculatedColumnFormula>C2-D2</calculatedColumnFormula>
    </tableColumn>
    <tableColumn id="10" xr3:uid="{98584203-68B5-4BCB-924A-E61FA748EE47}" name="Correlation" dataDxfId="0">
      <calculatedColumnFormula>CORREL(G2:G201, H2:H201)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759C1-F55E-9446-BE62-93BBB7A4937B}">
  <sheetPr codeName="Sheet8">
    <tabColor theme="9" tint="0.79998168889431442"/>
  </sheetPr>
  <dimension ref="A1:O1000"/>
  <sheetViews>
    <sheetView tabSelected="1" topLeftCell="H1" zoomScale="117" zoomScaleNormal="110" workbookViewId="0">
      <selection activeCell="H2" sqref="H2"/>
    </sheetView>
  </sheetViews>
  <sheetFormatPr defaultColWidth="14.44140625" defaultRowHeight="15" customHeight="1" x14ac:dyDescent="0.3"/>
  <cols>
    <col min="1" max="1" width="26.77734375" customWidth="1"/>
    <col min="2" max="2" width="18.44140625" customWidth="1"/>
    <col min="3" max="3" width="14.88671875" customWidth="1"/>
    <col min="4" max="4" width="15.6640625" customWidth="1"/>
    <col min="5" max="5" width="16.109375" customWidth="1"/>
    <col min="6" max="6" width="20.77734375" customWidth="1"/>
    <col min="7" max="7" width="12.6640625" customWidth="1"/>
    <col min="8" max="9" width="17.109375" customWidth="1"/>
    <col min="10" max="10" width="12.109375" bestFit="1" customWidth="1"/>
    <col min="11" max="11" width="20.44140625" customWidth="1"/>
    <col min="12" max="12" width="22.77734375" customWidth="1"/>
    <col min="13" max="13" width="10" customWidth="1"/>
    <col min="14" max="14" width="14.77734375" customWidth="1"/>
    <col min="15" max="15" width="23" customWidth="1"/>
    <col min="16" max="27" width="8.6640625" customWidth="1"/>
  </cols>
  <sheetData>
    <row r="1" spans="1:15" ht="14.4" x14ac:dyDescent="0.3">
      <c r="A1" s="1" t="s">
        <v>567</v>
      </c>
      <c r="B1" s="1" t="s">
        <v>1</v>
      </c>
      <c r="C1" s="1" t="s">
        <v>568</v>
      </c>
      <c r="D1" s="1" t="s">
        <v>569</v>
      </c>
      <c r="E1" s="1" t="s">
        <v>570</v>
      </c>
      <c r="F1" s="1" t="s">
        <v>571</v>
      </c>
      <c r="G1" s="17" t="s">
        <v>572</v>
      </c>
      <c r="H1" s="18" t="s">
        <v>618</v>
      </c>
      <c r="I1" s="11"/>
    </row>
    <row r="2" spans="1:15" ht="14.4" x14ac:dyDescent="0.3">
      <c r="A2" s="3" t="s">
        <v>232</v>
      </c>
      <c r="B2" s="3" t="s">
        <v>33</v>
      </c>
      <c r="C2" s="3">
        <v>1135</v>
      </c>
      <c r="D2" s="3">
        <v>88</v>
      </c>
      <c r="E2" s="3">
        <v>344084</v>
      </c>
      <c r="F2" s="3">
        <v>8.06</v>
      </c>
      <c r="G2" s="3">
        <v>5904</v>
      </c>
      <c r="H2" s="10">
        <f t="shared" ref="H2:H33" si="0">(E6-E2)/E2</f>
        <v>-0.85713662942769786</v>
      </c>
      <c r="I2" s="10"/>
    </row>
    <row r="3" spans="1:15" ht="14.4" x14ac:dyDescent="0.3">
      <c r="A3" s="3" t="s">
        <v>232</v>
      </c>
      <c r="B3" s="3" t="s">
        <v>43</v>
      </c>
      <c r="C3" s="3">
        <v>1312</v>
      </c>
      <c r="D3" s="3">
        <v>310</v>
      </c>
      <c r="E3" s="3">
        <v>42654</v>
      </c>
      <c r="F3" s="3">
        <v>4.9800000000000004</v>
      </c>
      <c r="G3" s="3">
        <v>9566</v>
      </c>
      <c r="H3" s="9">
        <f t="shared" si="0"/>
        <v>6.4214610587518166</v>
      </c>
      <c r="I3" s="9"/>
      <c r="J3" t="s">
        <v>1</v>
      </c>
      <c r="K3" t="s">
        <v>617</v>
      </c>
    </row>
    <row r="4" spans="1:15" ht="14.4" x14ac:dyDescent="0.3">
      <c r="A4" s="3" t="s">
        <v>232</v>
      </c>
      <c r="B4" s="3" t="s">
        <v>14</v>
      </c>
      <c r="C4" s="3">
        <v>584</v>
      </c>
      <c r="D4" s="3">
        <v>169</v>
      </c>
      <c r="E4" s="3">
        <v>146834</v>
      </c>
      <c r="F4" s="3">
        <v>8.31</v>
      </c>
      <c r="G4" s="3">
        <v>26752</v>
      </c>
      <c r="H4" s="9">
        <f t="shared" si="0"/>
        <v>0.73220779928354474</v>
      </c>
      <c r="I4" s="9"/>
      <c r="J4" s="7" t="s">
        <v>33</v>
      </c>
      <c r="K4">
        <v>285.78000000000003</v>
      </c>
    </row>
    <row r="5" spans="1:15" ht="14.4" x14ac:dyDescent="0.3">
      <c r="A5" s="3" t="s">
        <v>232</v>
      </c>
      <c r="B5" s="3" t="s">
        <v>27</v>
      </c>
      <c r="C5" s="3">
        <v>1535</v>
      </c>
      <c r="D5" s="3">
        <v>445</v>
      </c>
      <c r="E5" s="3">
        <v>395536</v>
      </c>
      <c r="F5" s="3">
        <v>4.1100000000000003</v>
      </c>
      <c r="G5" s="3">
        <v>30671</v>
      </c>
      <c r="H5" s="9">
        <f t="shared" si="0"/>
        <v>4.6372517292989766E-2</v>
      </c>
      <c r="I5" s="9"/>
      <c r="J5" s="7" t="s">
        <v>14</v>
      </c>
      <c r="K5">
        <v>282.79000000000002</v>
      </c>
    </row>
    <row r="6" spans="1:15" ht="14.4" x14ac:dyDescent="0.3">
      <c r="A6" s="3" t="s">
        <v>151</v>
      </c>
      <c r="B6" s="3" t="s">
        <v>33</v>
      </c>
      <c r="C6" s="3">
        <v>656</v>
      </c>
      <c r="D6" s="3">
        <v>139</v>
      </c>
      <c r="E6" s="3">
        <v>49157</v>
      </c>
      <c r="F6" s="3">
        <v>9.0500000000000007</v>
      </c>
      <c r="G6" s="3">
        <v>9920</v>
      </c>
      <c r="H6" s="10">
        <f t="shared" si="0"/>
        <v>8.2956445674064732</v>
      </c>
      <c r="I6" s="10"/>
      <c r="J6" s="7" t="s">
        <v>43</v>
      </c>
      <c r="K6">
        <v>282.43</v>
      </c>
    </row>
    <row r="7" spans="1:15" ht="14.4" x14ac:dyDescent="0.3">
      <c r="A7" s="3" t="s">
        <v>151</v>
      </c>
      <c r="B7" s="3" t="s">
        <v>43</v>
      </c>
      <c r="C7" s="3">
        <v>1697</v>
      </c>
      <c r="D7" s="3">
        <v>414</v>
      </c>
      <c r="E7" s="3">
        <v>316555</v>
      </c>
      <c r="F7" s="3">
        <v>2.37</v>
      </c>
      <c r="G7" s="3">
        <v>7924</v>
      </c>
      <c r="H7" s="9">
        <f t="shared" si="0"/>
        <v>-0.46456066086462067</v>
      </c>
      <c r="I7" s="9"/>
      <c r="J7" s="7" t="s">
        <v>27</v>
      </c>
      <c r="K7">
        <v>277.94</v>
      </c>
    </row>
    <row r="8" spans="1:15" ht="14.4" x14ac:dyDescent="0.3">
      <c r="A8" s="3" t="s">
        <v>151</v>
      </c>
      <c r="B8" s="3" t="s">
        <v>14</v>
      </c>
      <c r="C8" s="3">
        <v>436</v>
      </c>
      <c r="D8" s="3">
        <v>250</v>
      </c>
      <c r="E8" s="3">
        <v>254347</v>
      </c>
      <c r="F8" s="3">
        <v>4.01</v>
      </c>
      <c r="G8" s="3">
        <v>8912</v>
      </c>
      <c r="H8" s="9">
        <f t="shared" si="0"/>
        <v>-0.51746236440767923</v>
      </c>
      <c r="I8" s="9"/>
      <c r="J8" s="7" t="s">
        <v>613</v>
      </c>
      <c r="K8">
        <v>1128.94</v>
      </c>
      <c r="N8" s="12"/>
      <c r="O8" s="4"/>
    </row>
    <row r="9" spans="1:15" ht="14.4" x14ac:dyDescent="0.3">
      <c r="A9" s="3" t="s">
        <v>151</v>
      </c>
      <c r="B9" s="3" t="s">
        <v>27</v>
      </c>
      <c r="C9" s="3">
        <v>1197</v>
      </c>
      <c r="D9" s="3">
        <v>203</v>
      </c>
      <c r="E9" s="3">
        <v>413878</v>
      </c>
      <c r="F9" s="3">
        <v>3.16</v>
      </c>
      <c r="G9" s="3">
        <v>21205</v>
      </c>
      <c r="H9" s="9">
        <f t="shared" si="0"/>
        <v>-7.4966536032357367E-2</v>
      </c>
      <c r="I9" s="9"/>
    </row>
    <row r="10" spans="1:15" ht="14.4" x14ac:dyDescent="0.3">
      <c r="A10" s="3" t="s">
        <v>164</v>
      </c>
      <c r="B10" s="3" t="s">
        <v>33</v>
      </c>
      <c r="C10" s="3">
        <v>1048</v>
      </c>
      <c r="D10" s="3">
        <v>155</v>
      </c>
      <c r="E10" s="3">
        <v>456946</v>
      </c>
      <c r="F10" s="3">
        <v>2.46</v>
      </c>
      <c r="G10" s="3">
        <v>11329</v>
      </c>
      <c r="H10" s="10">
        <f t="shared" si="0"/>
        <v>-0.92195139031745543</v>
      </c>
      <c r="I10" s="10"/>
    </row>
    <row r="11" spans="1:15" ht="14.4" x14ac:dyDescent="0.3">
      <c r="A11" s="3" t="s">
        <v>164</v>
      </c>
      <c r="B11" s="3" t="s">
        <v>43</v>
      </c>
      <c r="C11" s="3">
        <v>1753</v>
      </c>
      <c r="D11" s="3">
        <v>371</v>
      </c>
      <c r="E11" s="3">
        <v>169496</v>
      </c>
      <c r="F11" s="3">
        <v>8.11</v>
      </c>
      <c r="G11" s="3">
        <v>46670</v>
      </c>
      <c r="H11" s="9">
        <f t="shared" si="0"/>
        <v>-0.84486359560107616</v>
      </c>
      <c r="I11" s="9"/>
      <c r="J11" t="s">
        <v>1</v>
      </c>
      <c r="K11" t="s">
        <v>619</v>
      </c>
    </row>
    <row r="12" spans="1:15" ht="14.4" x14ac:dyDescent="0.3">
      <c r="A12" s="3" t="s">
        <v>164</v>
      </c>
      <c r="B12" s="3" t="s">
        <v>14</v>
      </c>
      <c r="C12" s="3">
        <v>1335</v>
      </c>
      <c r="D12" s="3">
        <v>40</v>
      </c>
      <c r="E12" s="3">
        <v>122732</v>
      </c>
      <c r="F12" s="3">
        <v>8.19</v>
      </c>
      <c r="G12" s="3">
        <v>22482</v>
      </c>
      <c r="H12" s="9">
        <f t="shared" si="0"/>
        <v>1.4314848613238602</v>
      </c>
      <c r="I12" s="9"/>
      <c r="J12" s="7" t="s">
        <v>27</v>
      </c>
      <c r="K12" s="4">
        <v>70.76530216097602</v>
      </c>
    </row>
    <row r="13" spans="1:15" ht="14.4" x14ac:dyDescent="0.3">
      <c r="A13" s="3" t="s">
        <v>164</v>
      </c>
      <c r="B13" s="3" t="s">
        <v>27</v>
      </c>
      <c r="C13" s="3">
        <v>403</v>
      </c>
      <c r="D13" s="3">
        <v>66</v>
      </c>
      <c r="E13" s="3">
        <v>382851</v>
      </c>
      <c r="F13" s="3">
        <v>3.49</v>
      </c>
      <c r="G13" s="3">
        <v>24313</v>
      </c>
      <c r="H13" s="9">
        <f t="shared" si="0"/>
        <v>0.11318502498360981</v>
      </c>
      <c r="I13" s="9"/>
      <c r="J13" s="7" t="s">
        <v>33</v>
      </c>
      <c r="K13" s="4">
        <v>57.088725596591907</v>
      </c>
    </row>
    <row r="14" spans="1:15" ht="14.4" x14ac:dyDescent="0.3">
      <c r="A14" s="3" t="s">
        <v>48</v>
      </c>
      <c r="B14" s="3" t="s">
        <v>33</v>
      </c>
      <c r="C14" s="3">
        <v>911</v>
      </c>
      <c r="D14" s="3">
        <v>282</v>
      </c>
      <c r="E14" s="3">
        <v>35664</v>
      </c>
      <c r="F14" s="3">
        <v>6.92</v>
      </c>
      <c r="G14" s="3">
        <v>18050</v>
      </c>
      <c r="H14" s="10">
        <f t="shared" si="0"/>
        <v>10.761075594436967</v>
      </c>
      <c r="I14" s="10"/>
      <c r="J14" s="7" t="s">
        <v>14</v>
      </c>
      <c r="K14" s="4">
        <v>50.176900153288017</v>
      </c>
    </row>
    <row r="15" spans="1:15" ht="14.4" x14ac:dyDescent="0.3">
      <c r="A15" s="3" t="s">
        <v>48</v>
      </c>
      <c r="B15" s="3" t="s">
        <v>43</v>
      </c>
      <c r="C15" s="3">
        <v>1779</v>
      </c>
      <c r="D15" s="3">
        <v>109</v>
      </c>
      <c r="E15" s="3">
        <v>26295</v>
      </c>
      <c r="F15" s="3">
        <v>9.1199999999999992</v>
      </c>
      <c r="G15" s="3">
        <v>30635</v>
      </c>
      <c r="H15" s="9">
        <f t="shared" si="0"/>
        <v>7.3673702224757562</v>
      </c>
      <c r="I15" s="9"/>
      <c r="J15" s="7" t="s">
        <v>43</v>
      </c>
      <c r="K15" s="4">
        <v>40.763823031842271</v>
      </c>
    </row>
    <row r="16" spans="1:15" ht="14.4" x14ac:dyDescent="0.3">
      <c r="A16" s="3" t="s">
        <v>48</v>
      </c>
      <c r="B16" s="3" t="s">
        <v>14</v>
      </c>
      <c r="C16" s="3">
        <v>1238</v>
      </c>
      <c r="D16" s="3">
        <v>403</v>
      </c>
      <c r="E16" s="3">
        <v>298421</v>
      </c>
      <c r="F16" s="3">
        <v>3.5</v>
      </c>
      <c r="G16" s="3">
        <v>31280</v>
      </c>
      <c r="H16" s="9">
        <f t="shared" si="0"/>
        <v>5.6577787756223588E-2</v>
      </c>
      <c r="I16" s="9"/>
      <c r="J16" s="7" t="s">
        <v>613</v>
      </c>
      <c r="K16" s="4">
        <v>218.79475094269822</v>
      </c>
    </row>
    <row r="17" spans="1:12" ht="14.4" x14ac:dyDescent="0.3">
      <c r="A17" s="3" t="s">
        <v>48</v>
      </c>
      <c r="B17" s="3" t="s">
        <v>27</v>
      </c>
      <c r="C17" s="3">
        <v>308</v>
      </c>
      <c r="D17" s="3">
        <v>431</v>
      </c>
      <c r="E17" s="3">
        <v>426184</v>
      </c>
      <c r="F17" s="3">
        <v>2.62</v>
      </c>
      <c r="G17" s="3">
        <v>1783</v>
      </c>
      <c r="H17" s="9">
        <f t="shared" si="0"/>
        <v>-0.73326544403356297</v>
      </c>
      <c r="I17" s="9"/>
    </row>
    <row r="18" spans="1:12" ht="14.4" x14ac:dyDescent="0.3">
      <c r="A18" s="3" t="s">
        <v>455</v>
      </c>
      <c r="B18" s="3" t="s">
        <v>33</v>
      </c>
      <c r="C18" s="3">
        <v>226</v>
      </c>
      <c r="D18" s="3">
        <v>445</v>
      </c>
      <c r="E18" s="3">
        <v>419447</v>
      </c>
      <c r="F18" s="3">
        <v>9.36</v>
      </c>
      <c r="G18" s="3">
        <v>9566</v>
      </c>
      <c r="H18" s="10">
        <f t="shared" si="0"/>
        <v>-0.86119104439893479</v>
      </c>
      <c r="I18" s="10"/>
    </row>
    <row r="19" spans="1:12" ht="14.4" x14ac:dyDescent="0.3">
      <c r="A19" s="3" t="s">
        <v>455</v>
      </c>
      <c r="B19" s="3" t="s">
        <v>43</v>
      </c>
      <c r="C19" s="3">
        <v>505</v>
      </c>
      <c r="D19" s="3">
        <v>441</v>
      </c>
      <c r="E19" s="3">
        <v>220020</v>
      </c>
      <c r="F19" s="3">
        <v>4.4800000000000004</v>
      </c>
      <c r="G19" s="3">
        <v>42307</v>
      </c>
      <c r="H19" s="9">
        <f t="shared" si="0"/>
        <v>0.1439596400327243</v>
      </c>
      <c r="I19" s="9"/>
    </row>
    <row r="20" spans="1:12" ht="14.4" x14ac:dyDescent="0.3">
      <c r="A20" s="3" t="s">
        <v>455</v>
      </c>
      <c r="B20" s="3" t="s">
        <v>14</v>
      </c>
      <c r="C20" s="3">
        <v>1420</v>
      </c>
      <c r="D20" s="3">
        <v>63</v>
      </c>
      <c r="E20" s="3">
        <v>315305</v>
      </c>
      <c r="F20" s="3">
        <v>6.19</v>
      </c>
      <c r="G20" s="3">
        <v>5914</v>
      </c>
      <c r="H20" s="9">
        <f t="shared" si="0"/>
        <v>0.23629501593694993</v>
      </c>
      <c r="I20" s="9"/>
      <c r="J20" t="s">
        <v>612</v>
      </c>
      <c r="K20" t="s">
        <v>620</v>
      </c>
      <c r="L20" t="s">
        <v>621</v>
      </c>
    </row>
    <row r="21" spans="1:12" ht="15.75" customHeight="1" x14ac:dyDescent="0.3">
      <c r="A21" s="3" t="s">
        <v>455</v>
      </c>
      <c r="B21" s="3" t="s">
        <v>27</v>
      </c>
      <c r="C21" s="3">
        <v>144</v>
      </c>
      <c r="D21" s="3">
        <v>53</v>
      </c>
      <c r="E21" s="3">
        <v>113678</v>
      </c>
      <c r="F21" s="3">
        <v>8.7200000000000006</v>
      </c>
      <c r="G21" s="3">
        <v>30060</v>
      </c>
      <c r="H21" s="9">
        <f t="shared" si="0"/>
        <v>1.0557539717447528</v>
      </c>
      <c r="I21" s="9"/>
      <c r="J21" t="s">
        <v>43</v>
      </c>
      <c r="K21" s="12">
        <v>1379539</v>
      </c>
      <c r="L21" s="4">
        <v>5.6486000000000001</v>
      </c>
    </row>
    <row r="22" spans="1:12" ht="15.75" customHeight="1" x14ac:dyDescent="0.3">
      <c r="A22" s="3" t="s">
        <v>573</v>
      </c>
      <c r="B22" s="3" t="s">
        <v>33</v>
      </c>
      <c r="C22" s="3">
        <v>1757</v>
      </c>
      <c r="D22" s="3">
        <v>85</v>
      </c>
      <c r="E22" s="3">
        <v>58223</v>
      </c>
      <c r="F22" s="3">
        <v>8.74</v>
      </c>
      <c r="G22" s="3">
        <v>22728</v>
      </c>
      <c r="H22" s="10">
        <f t="shared" si="0"/>
        <v>1.6479054669117015</v>
      </c>
      <c r="I22" s="10"/>
      <c r="J22" t="s">
        <v>33</v>
      </c>
      <c r="K22" s="12">
        <v>1164373</v>
      </c>
      <c r="L22" s="4">
        <v>5.7156000000000002</v>
      </c>
    </row>
    <row r="23" spans="1:12" ht="15.75" customHeight="1" x14ac:dyDescent="0.3">
      <c r="A23" s="3" t="s">
        <v>573</v>
      </c>
      <c r="B23" s="3" t="s">
        <v>43</v>
      </c>
      <c r="C23" s="3">
        <v>350</v>
      </c>
      <c r="D23" s="3">
        <v>41</v>
      </c>
      <c r="E23" s="3">
        <v>251694</v>
      </c>
      <c r="F23" s="3">
        <v>1.91</v>
      </c>
      <c r="G23" s="3">
        <v>38610</v>
      </c>
      <c r="H23" s="9">
        <f t="shared" si="0"/>
        <v>0.32949533957901261</v>
      </c>
      <c r="I23" s="9"/>
      <c r="J23" t="s">
        <v>14</v>
      </c>
      <c r="K23" s="12">
        <v>1060357</v>
      </c>
      <c r="L23" s="4">
        <v>5.6558000000000002</v>
      </c>
    </row>
    <row r="24" spans="1:12" ht="15.75" customHeight="1" x14ac:dyDescent="0.3">
      <c r="A24" s="3" t="s">
        <v>573</v>
      </c>
      <c r="B24" s="3" t="s">
        <v>14</v>
      </c>
      <c r="C24" s="3">
        <v>987</v>
      </c>
      <c r="D24" s="3">
        <v>440</v>
      </c>
      <c r="E24" s="3">
        <v>389810</v>
      </c>
      <c r="F24" s="3">
        <v>4.66</v>
      </c>
      <c r="G24" s="3">
        <v>2932</v>
      </c>
      <c r="H24" s="9">
        <f t="shared" si="0"/>
        <v>-0.42022523793643057</v>
      </c>
      <c r="I24" s="9"/>
      <c r="J24" t="s">
        <v>27</v>
      </c>
      <c r="K24" s="12">
        <v>1228647</v>
      </c>
      <c r="L24" s="4">
        <v>5.5587999999999997</v>
      </c>
    </row>
    <row r="25" spans="1:12" ht="15.75" customHeight="1" x14ac:dyDescent="0.3">
      <c r="A25" s="3" t="s">
        <v>573</v>
      </c>
      <c r="B25" s="3" t="s">
        <v>27</v>
      </c>
      <c r="C25" s="3">
        <v>883</v>
      </c>
      <c r="D25" s="3">
        <v>369</v>
      </c>
      <c r="E25" s="3">
        <v>233694</v>
      </c>
      <c r="F25" s="3">
        <v>2.88</v>
      </c>
      <c r="G25" s="3">
        <v>15071</v>
      </c>
      <c r="H25" s="9">
        <f t="shared" si="0"/>
        <v>-0.32953777161587378</v>
      </c>
      <c r="I25" s="9"/>
    </row>
    <row r="26" spans="1:12" ht="15.75" customHeight="1" x14ac:dyDescent="0.3">
      <c r="A26" s="3" t="s">
        <v>315</v>
      </c>
      <c r="B26" s="3" t="s">
        <v>33</v>
      </c>
      <c r="C26" s="3">
        <v>1960</v>
      </c>
      <c r="D26" s="3">
        <v>115</v>
      </c>
      <c r="E26" s="3">
        <v>154169</v>
      </c>
      <c r="F26" s="3">
        <v>3.74</v>
      </c>
      <c r="G26" s="3">
        <v>10740</v>
      </c>
      <c r="H26" s="10">
        <f t="shared" si="0"/>
        <v>2.0733286198911585</v>
      </c>
      <c r="I26" s="10"/>
    </row>
    <row r="27" spans="1:12" ht="15.75" customHeight="1" x14ac:dyDescent="0.3">
      <c r="A27" s="3" t="s">
        <v>315</v>
      </c>
      <c r="B27" s="3" t="s">
        <v>43</v>
      </c>
      <c r="C27" s="3">
        <v>170</v>
      </c>
      <c r="D27" s="3">
        <v>334</v>
      </c>
      <c r="E27" s="3">
        <v>334626</v>
      </c>
      <c r="F27" s="3">
        <v>6.44</v>
      </c>
      <c r="G27" s="3">
        <v>43420</v>
      </c>
      <c r="H27" s="9">
        <f t="shared" si="0"/>
        <v>-0.11832314285201986</v>
      </c>
      <c r="I27" s="9"/>
    </row>
    <row r="28" spans="1:12" ht="15.75" customHeight="1" x14ac:dyDescent="0.3">
      <c r="A28" s="3" t="s">
        <v>315</v>
      </c>
      <c r="B28" s="3" t="s">
        <v>14</v>
      </c>
      <c r="C28" s="3">
        <v>704</v>
      </c>
      <c r="D28" s="3">
        <v>275</v>
      </c>
      <c r="E28" s="3">
        <v>226002</v>
      </c>
      <c r="F28" s="3">
        <v>8.56</v>
      </c>
      <c r="G28" s="3">
        <v>32393</v>
      </c>
      <c r="H28" s="9">
        <f t="shared" si="0"/>
        <v>-0.12267148078335589</v>
      </c>
      <c r="I28" s="9"/>
    </row>
    <row r="29" spans="1:12" ht="15.75" customHeight="1" x14ac:dyDescent="0.3">
      <c r="A29" s="3" t="s">
        <v>315</v>
      </c>
      <c r="B29" s="3" t="s">
        <v>27</v>
      </c>
      <c r="C29" s="3">
        <v>224</v>
      </c>
      <c r="D29" s="3">
        <v>64</v>
      </c>
      <c r="E29" s="3">
        <v>156683</v>
      </c>
      <c r="F29" s="3">
        <v>4.5599999999999996</v>
      </c>
      <c r="G29" s="3">
        <v>28474</v>
      </c>
      <c r="H29" s="9">
        <f t="shared" si="0"/>
        <v>0.95658750470695608</v>
      </c>
      <c r="I29" s="9"/>
    </row>
    <row r="30" spans="1:12" ht="15.75" customHeight="1" x14ac:dyDescent="0.3">
      <c r="A30" s="3" t="s">
        <v>574</v>
      </c>
      <c r="B30" s="3" t="s">
        <v>33</v>
      </c>
      <c r="C30" s="3">
        <v>508</v>
      </c>
      <c r="D30" s="3">
        <v>349</v>
      </c>
      <c r="E30" s="3">
        <v>473812</v>
      </c>
      <c r="F30" s="3">
        <v>7.88</v>
      </c>
      <c r="G30" s="3">
        <v>17328</v>
      </c>
      <c r="H30" s="10">
        <f t="shared" si="0"/>
        <v>-0.95005614041012043</v>
      </c>
      <c r="I30" s="10"/>
    </row>
    <row r="31" spans="1:12" ht="15.75" customHeight="1" x14ac:dyDescent="0.3">
      <c r="A31" s="3" t="s">
        <v>574</v>
      </c>
      <c r="B31" s="3" t="s">
        <v>43</v>
      </c>
      <c r="C31" s="3">
        <v>1391</v>
      </c>
      <c r="D31" s="3">
        <v>430</v>
      </c>
      <c r="E31" s="3">
        <v>295032</v>
      </c>
      <c r="F31" s="3">
        <v>7.86</v>
      </c>
      <c r="G31" s="3">
        <v>26067</v>
      </c>
      <c r="H31" s="9">
        <f t="shared" si="0"/>
        <v>0.47453157623579817</v>
      </c>
      <c r="I31" s="9"/>
    </row>
    <row r="32" spans="1:12" ht="15.75" customHeight="1" x14ac:dyDescent="0.3">
      <c r="A32" s="3" t="s">
        <v>574</v>
      </c>
      <c r="B32" s="3" t="s">
        <v>14</v>
      </c>
      <c r="C32" s="3">
        <v>1701</v>
      </c>
      <c r="D32" s="3">
        <v>385</v>
      </c>
      <c r="E32" s="3">
        <v>198278</v>
      </c>
      <c r="F32" s="3">
        <v>5.34</v>
      </c>
      <c r="G32" s="3">
        <v>32763</v>
      </c>
      <c r="H32" s="9">
        <f t="shared" si="0"/>
        <v>0.45035757875306387</v>
      </c>
      <c r="I32" s="9"/>
    </row>
    <row r="33" spans="1:9" ht="15.75" customHeight="1" x14ac:dyDescent="0.3">
      <c r="A33" s="3" t="s">
        <v>574</v>
      </c>
      <c r="B33" s="3" t="s">
        <v>27</v>
      </c>
      <c r="C33" s="3">
        <v>804</v>
      </c>
      <c r="D33" s="3">
        <v>487</v>
      </c>
      <c r="E33" s="3">
        <v>306564</v>
      </c>
      <c r="F33" s="3">
        <v>5.52</v>
      </c>
      <c r="G33" s="3">
        <v>26452</v>
      </c>
      <c r="H33" s="9">
        <f t="shared" si="0"/>
        <v>-0.7961306611343798</v>
      </c>
      <c r="I33" s="9"/>
    </row>
    <row r="34" spans="1:9" ht="15.75" customHeight="1" x14ac:dyDescent="0.3">
      <c r="A34" s="3" t="s">
        <v>268</v>
      </c>
      <c r="B34" s="3" t="s">
        <v>33</v>
      </c>
      <c r="C34" s="3">
        <v>653</v>
      </c>
      <c r="D34" s="3">
        <v>112</v>
      </c>
      <c r="E34" s="3">
        <v>23664</v>
      </c>
      <c r="F34" s="3">
        <v>4.05</v>
      </c>
      <c r="G34" s="3">
        <v>15353</v>
      </c>
      <c r="H34" s="10">
        <f t="shared" ref="H34:H65" si="1">(E38-E34)/E34</f>
        <v>17.507775524002703</v>
      </c>
      <c r="I34" s="10"/>
    </row>
    <row r="35" spans="1:9" ht="15.75" customHeight="1" x14ac:dyDescent="0.3">
      <c r="A35" s="3" t="s">
        <v>268</v>
      </c>
      <c r="B35" s="3" t="s">
        <v>43</v>
      </c>
      <c r="C35" s="3">
        <v>160</v>
      </c>
      <c r="D35" s="3">
        <v>478</v>
      </c>
      <c r="E35" s="3">
        <v>435034</v>
      </c>
      <c r="F35" s="3">
        <v>7.73</v>
      </c>
      <c r="G35" s="3">
        <v>4839</v>
      </c>
      <c r="H35" s="9">
        <f t="shared" si="1"/>
        <v>-0.71258798162902215</v>
      </c>
      <c r="I35" s="9"/>
    </row>
    <row r="36" spans="1:9" ht="15.75" customHeight="1" x14ac:dyDescent="0.3">
      <c r="A36" s="3" t="s">
        <v>268</v>
      </c>
      <c r="B36" s="3" t="s">
        <v>14</v>
      </c>
      <c r="C36" s="3">
        <v>1756</v>
      </c>
      <c r="D36" s="3">
        <v>261</v>
      </c>
      <c r="E36" s="3">
        <v>287574</v>
      </c>
      <c r="F36" s="3">
        <v>4.3600000000000003</v>
      </c>
      <c r="G36" s="3">
        <v>39272</v>
      </c>
      <c r="H36" s="9">
        <f t="shared" si="1"/>
        <v>0.56479375743286941</v>
      </c>
      <c r="I36" s="9"/>
    </row>
    <row r="37" spans="1:9" ht="15.75" customHeight="1" x14ac:dyDescent="0.3">
      <c r="A37" s="3" t="s">
        <v>268</v>
      </c>
      <c r="B37" s="3" t="s">
        <v>27</v>
      </c>
      <c r="C37" s="3">
        <v>576</v>
      </c>
      <c r="D37" s="3">
        <v>101</v>
      </c>
      <c r="E37" s="3">
        <v>62499</v>
      </c>
      <c r="F37" s="3">
        <v>3.48</v>
      </c>
      <c r="G37" s="3">
        <v>16804</v>
      </c>
      <c r="H37" s="9">
        <f t="shared" si="1"/>
        <v>4.1304820877134034</v>
      </c>
      <c r="I37" s="9"/>
    </row>
    <row r="38" spans="1:9" ht="15.75" customHeight="1" x14ac:dyDescent="0.3">
      <c r="A38" s="3" t="s">
        <v>501</v>
      </c>
      <c r="B38" s="3" t="s">
        <v>33</v>
      </c>
      <c r="C38" s="3">
        <v>645</v>
      </c>
      <c r="D38" s="3">
        <v>293</v>
      </c>
      <c r="E38" s="3">
        <v>437968</v>
      </c>
      <c r="F38" s="3">
        <v>7.83</v>
      </c>
      <c r="G38" s="3">
        <v>49303</v>
      </c>
      <c r="H38" s="10">
        <f t="shared" si="1"/>
        <v>0.11694918350199102</v>
      </c>
      <c r="I38" s="10"/>
    </row>
    <row r="39" spans="1:9" ht="15.75" customHeight="1" x14ac:dyDescent="0.3">
      <c r="A39" s="3" t="s">
        <v>501</v>
      </c>
      <c r="B39" s="3" t="s">
        <v>43</v>
      </c>
      <c r="C39" s="3">
        <v>214</v>
      </c>
      <c r="D39" s="3">
        <v>411</v>
      </c>
      <c r="E39" s="3">
        <v>125034</v>
      </c>
      <c r="F39" s="3">
        <v>6.11</v>
      </c>
      <c r="G39" s="3">
        <v>26455</v>
      </c>
      <c r="H39" s="9">
        <f t="shared" si="1"/>
        <v>1.460226818305421</v>
      </c>
      <c r="I39" s="9"/>
    </row>
    <row r="40" spans="1:9" ht="15.75" customHeight="1" x14ac:dyDescent="0.3">
      <c r="A40" s="3" t="s">
        <v>501</v>
      </c>
      <c r="B40" s="3" t="s">
        <v>14</v>
      </c>
      <c r="C40" s="3">
        <v>826</v>
      </c>
      <c r="D40" s="3">
        <v>498</v>
      </c>
      <c r="E40" s="3">
        <v>449994</v>
      </c>
      <c r="F40" s="3">
        <v>9.43</v>
      </c>
      <c r="G40" s="3">
        <v>12384</v>
      </c>
      <c r="H40" s="9">
        <f t="shared" si="1"/>
        <v>-3.3580447739303187E-2</v>
      </c>
      <c r="I40" s="9"/>
    </row>
    <row r="41" spans="1:9" ht="15.75" customHeight="1" x14ac:dyDescent="0.3">
      <c r="A41" s="3" t="s">
        <v>501</v>
      </c>
      <c r="B41" s="3" t="s">
        <v>27</v>
      </c>
      <c r="C41" s="3">
        <v>460</v>
      </c>
      <c r="D41" s="3">
        <v>141</v>
      </c>
      <c r="E41" s="3">
        <v>320650</v>
      </c>
      <c r="F41" s="3">
        <v>4.04</v>
      </c>
      <c r="G41" s="3">
        <v>49372</v>
      </c>
      <c r="H41" s="9">
        <f t="shared" si="1"/>
        <v>-0.6817651645095899</v>
      </c>
      <c r="I41" s="9"/>
    </row>
    <row r="42" spans="1:9" ht="15.75" customHeight="1" x14ac:dyDescent="0.3">
      <c r="A42" s="3" t="s">
        <v>34</v>
      </c>
      <c r="B42" s="3" t="s">
        <v>33</v>
      </c>
      <c r="C42" s="3">
        <v>1528</v>
      </c>
      <c r="D42" s="3">
        <v>203</v>
      </c>
      <c r="E42" s="3">
        <v>489188</v>
      </c>
      <c r="F42" s="3">
        <v>6.23</v>
      </c>
      <c r="G42" s="3">
        <v>47101</v>
      </c>
      <c r="H42" s="10">
        <f t="shared" si="1"/>
        <v>-0.33472611756625265</v>
      </c>
      <c r="I42" s="10"/>
    </row>
    <row r="43" spans="1:9" ht="15.75" customHeight="1" x14ac:dyDescent="0.3">
      <c r="A43" s="3" t="s">
        <v>34</v>
      </c>
      <c r="B43" s="3" t="s">
        <v>43</v>
      </c>
      <c r="C43" s="3">
        <v>1534</v>
      </c>
      <c r="D43" s="3">
        <v>200</v>
      </c>
      <c r="E43" s="3">
        <v>307612</v>
      </c>
      <c r="F43" s="3">
        <v>6.01</v>
      </c>
      <c r="G43" s="3">
        <v>37903</v>
      </c>
      <c r="H43" s="9">
        <f t="shared" si="1"/>
        <v>-0.40209094573683729</v>
      </c>
      <c r="I43" s="9"/>
    </row>
    <row r="44" spans="1:9" ht="15.75" customHeight="1" x14ac:dyDescent="0.3">
      <c r="A44" s="3" t="s">
        <v>34</v>
      </c>
      <c r="B44" s="3" t="s">
        <v>14</v>
      </c>
      <c r="C44" s="3">
        <v>485</v>
      </c>
      <c r="D44" s="3">
        <v>448</v>
      </c>
      <c r="E44" s="3">
        <v>434883</v>
      </c>
      <c r="F44" s="3">
        <v>8.5500000000000007</v>
      </c>
      <c r="G44" s="3">
        <v>33258</v>
      </c>
      <c r="H44" s="9">
        <f t="shared" si="1"/>
        <v>-0.56619366588254771</v>
      </c>
      <c r="I44" s="9"/>
    </row>
    <row r="45" spans="1:9" ht="15.75" customHeight="1" x14ac:dyDescent="0.3">
      <c r="A45" s="3" t="s">
        <v>34</v>
      </c>
      <c r="B45" s="3" t="s">
        <v>27</v>
      </c>
      <c r="C45" s="3">
        <v>1210</v>
      </c>
      <c r="D45" s="3">
        <v>178</v>
      </c>
      <c r="E45" s="3">
        <v>102042</v>
      </c>
      <c r="F45" s="3">
        <v>5.42</v>
      </c>
      <c r="G45" s="3">
        <v>6915</v>
      </c>
      <c r="H45" s="9">
        <f t="shared" si="1"/>
        <v>-0.1430685404049313</v>
      </c>
      <c r="I45" s="9"/>
    </row>
    <row r="46" spans="1:9" ht="15.75" customHeight="1" x14ac:dyDescent="0.3">
      <c r="A46" s="3" t="s">
        <v>81</v>
      </c>
      <c r="B46" s="3" t="s">
        <v>33</v>
      </c>
      <c r="C46" s="3">
        <v>215</v>
      </c>
      <c r="D46" s="3">
        <v>139</v>
      </c>
      <c r="E46" s="3">
        <v>325444</v>
      </c>
      <c r="F46" s="3">
        <v>3.25</v>
      </c>
      <c r="G46" s="3">
        <v>35501</v>
      </c>
      <c r="H46" s="10">
        <f t="shared" si="1"/>
        <v>0.39439965093841028</v>
      </c>
      <c r="I46" s="10"/>
    </row>
    <row r="47" spans="1:9" ht="15.75" customHeight="1" x14ac:dyDescent="0.3">
      <c r="A47" s="3" t="s">
        <v>81</v>
      </c>
      <c r="B47" s="3" t="s">
        <v>43</v>
      </c>
      <c r="C47" s="3">
        <v>1078</v>
      </c>
      <c r="D47" s="3">
        <v>20</v>
      </c>
      <c r="E47" s="3">
        <v>183924</v>
      </c>
      <c r="F47" s="3">
        <v>8.84</v>
      </c>
      <c r="G47" s="3">
        <v>14203</v>
      </c>
      <c r="H47" s="9">
        <f t="shared" si="1"/>
        <v>1.0626998107914138</v>
      </c>
      <c r="I47" s="9"/>
    </row>
    <row r="48" spans="1:9" ht="15.75" customHeight="1" x14ac:dyDescent="0.3">
      <c r="A48" s="3" t="s">
        <v>81</v>
      </c>
      <c r="B48" s="3" t="s">
        <v>14</v>
      </c>
      <c r="C48" s="3">
        <v>1751</v>
      </c>
      <c r="D48" s="3">
        <v>86</v>
      </c>
      <c r="E48" s="3">
        <v>188655</v>
      </c>
      <c r="F48" s="3">
        <v>7.24</v>
      </c>
      <c r="G48" s="3">
        <v>22206</v>
      </c>
      <c r="H48" s="9">
        <f t="shared" si="1"/>
        <v>-1.1666799183695105E-2</v>
      </c>
      <c r="I48" s="9"/>
    </row>
    <row r="49" spans="1:9" ht="15.75" customHeight="1" x14ac:dyDescent="0.3">
      <c r="A49" s="3" t="s">
        <v>81</v>
      </c>
      <c r="B49" s="3" t="s">
        <v>27</v>
      </c>
      <c r="C49" s="3">
        <v>221</v>
      </c>
      <c r="D49" s="3">
        <v>31</v>
      </c>
      <c r="E49" s="3">
        <v>87443</v>
      </c>
      <c r="F49" s="3">
        <v>6.19</v>
      </c>
      <c r="G49" s="3">
        <v>10283</v>
      </c>
      <c r="H49" s="9">
        <f t="shared" si="1"/>
        <v>1.7337122468350812</v>
      </c>
      <c r="I49" s="9"/>
    </row>
    <row r="50" spans="1:9" ht="15.75" customHeight="1" x14ac:dyDescent="0.3">
      <c r="A50" s="3" t="s">
        <v>77</v>
      </c>
      <c r="B50" s="3" t="s">
        <v>33</v>
      </c>
      <c r="C50" s="3">
        <v>1685</v>
      </c>
      <c r="D50" s="3">
        <v>76</v>
      </c>
      <c r="E50" s="3">
        <v>453799</v>
      </c>
      <c r="F50" s="3">
        <v>5.71</v>
      </c>
      <c r="G50" s="3">
        <v>24913</v>
      </c>
      <c r="H50" s="10">
        <f t="shared" si="1"/>
        <v>-0.77670290150485122</v>
      </c>
      <c r="I50" s="10"/>
    </row>
    <row r="51" spans="1:9" ht="15.75" customHeight="1" x14ac:dyDescent="0.3">
      <c r="A51" s="3" t="s">
        <v>77</v>
      </c>
      <c r="B51" s="3" t="s">
        <v>43</v>
      </c>
      <c r="C51" s="3">
        <v>248</v>
      </c>
      <c r="D51" s="3">
        <v>211</v>
      </c>
      <c r="E51" s="3">
        <v>379380</v>
      </c>
      <c r="F51" s="3">
        <v>9.0399999999999991</v>
      </c>
      <c r="G51" s="3">
        <v>26925</v>
      </c>
      <c r="H51" s="9">
        <f t="shared" si="1"/>
        <v>0.30998471189836047</v>
      </c>
      <c r="I51" s="9"/>
    </row>
    <row r="52" spans="1:9" ht="15.75" customHeight="1" x14ac:dyDescent="0.3">
      <c r="A52" s="3" t="s">
        <v>77</v>
      </c>
      <c r="B52" s="3" t="s">
        <v>14</v>
      </c>
      <c r="C52" s="3">
        <v>1300</v>
      </c>
      <c r="D52" s="3">
        <v>71</v>
      </c>
      <c r="E52" s="3">
        <v>186454</v>
      </c>
      <c r="F52" s="3">
        <v>3.91</v>
      </c>
      <c r="G52" s="3">
        <v>9942</v>
      </c>
      <c r="H52" s="9">
        <f t="shared" si="1"/>
        <v>0.70969247106524935</v>
      </c>
      <c r="I52" s="9"/>
    </row>
    <row r="53" spans="1:9" ht="15.75" customHeight="1" x14ac:dyDescent="0.3">
      <c r="A53" s="3" t="s">
        <v>77</v>
      </c>
      <c r="B53" s="3" t="s">
        <v>27</v>
      </c>
      <c r="C53" s="3">
        <v>422</v>
      </c>
      <c r="D53" s="3">
        <v>394</v>
      </c>
      <c r="E53" s="3">
        <v>239044</v>
      </c>
      <c r="F53" s="3">
        <v>7.83</v>
      </c>
      <c r="G53" s="3">
        <v>32929</v>
      </c>
      <c r="H53" s="9">
        <f t="shared" si="1"/>
        <v>0.55189421194424459</v>
      </c>
      <c r="I53" s="9"/>
    </row>
    <row r="54" spans="1:9" ht="15.75" customHeight="1" x14ac:dyDescent="0.3">
      <c r="A54" s="3" t="s">
        <v>195</v>
      </c>
      <c r="B54" s="3" t="s">
        <v>33</v>
      </c>
      <c r="C54" s="3">
        <v>1429</v>
      </c>
      <c r="D54" s="3">
        <v>182</v>
      </c>
      <c r="E54" s="3">
        <v>101332</v>
      </c>
      <c r="F54" s="3">
        <v>7.16</v>
      </c>
      <c r="G54" s="3">
        <v>37829</v>
      </c>
      <c r="H54" s="10">
        <f t="shared" si="1"/>
        <v>2.7308451426992462</v>
      </c>
      <c r="I54" s="10"/>
    </row>
    <row r="55" spans="1:9" ht="15.75" customHeight="1" x14ac:dyDescent="0.3">
      <c r="A55" s="3" t="s">
        <v>195</v>
      </c>
      <c r="B55" s="3" t="s">
        <v>43</v>
      </c>
      <c r="C55" s="3">
        <v>1520</v>
      </c>
      <c r="D55" s="3">
        <v>475</v>
      </c>
      <c r="E55" s="3">
        <v>496982</v>
      </c>
      <c r="F55" s="3">
        <v>6.41</v>
      </c>
      <c r="G55" s="3">
        <v>24384</v>
      </c>
      <c r="H55" s="9">
        <f t="shared" si="1"/>
        <v>-0.38121702596874735</v>
      </c>
      <c r="I55" s="9"/>
    </row>
    <row r="56" spans="1:9" ht="15.75" customHeight="1" x14ac:dyDescent="0.3">
      <c r="A56" s="3" t="s">
        <v>195</v>
      </c>
      <c r="B56" s="3" t="s">
        <v>14</v>
      </c>
      <c r="C56" s="3">
        <v>557</v>
      </c>
      <c r="D56" s="3">
        <v>360</v>
      </c>
      <c r="E56" s="3">
        <v>318779</v>
      </c>
      <c r="F56" s="3">
        <v>8.02</v>
      </c>
      <c r="G56" s="3">
        <v>25797</v>
      </c>
      <c r="H56" s="9">
        <f t="shared" si="1"/>
        <v>0.3615922002390371</v>
      </c>
      <c r="I56" s="9"/>
    </row>
    <row r="57" spans="1:9" ht="15.75" customHeight="1" x14ac:dyDescent="0.3">
      <c r="A57" s="3" t="s">
        <v>195</v>
      </c>
      <c r="B57" s="3" t="s">
        <v>27</v>
      </c>
      <c r="C57" s="3">
        <v>728</v>
      </c>
      <c r="D57" s="3">
        <v>395</v>
      </c>
      <c r="E57" s="3">
        <v>370971</v>
      </c>
      <c r="F57" s="3">
        <v>3.86</v>
      </c>
      <c r="G57" s="3">
        <v>12646</v>
      </c>
      <c r="H57" s="9">
        <f t="shared" si="1"/>
        <v>-0.82590822463211411</v>
      </c>
      <c r="I57" s="9"/>
    </row>
    <row r="58" spans="1:9" ht="15.75" customHeight="1" x14ac:dyDescent="0.3">
      <c r="A58" s="3" t="s">
        <v>87</v>
      </c>
      <c r="B58" s="3" t="s">
        <v>33</v>
      </c>
      <c r="C58" s="3">
        <v>1592</v>
      </c>
      <c r="D58" s="3">
        <v>20</v>
      </c>
      <c r="E58" s="3">
        <v>378054</v>
      </c>
      <c r="F58" s="3">
        <v>9.09</v>
      </c>
      <c r="G58" s="3">
        <v>26663</v>
      </c>
      <c r="H58" s="10">
        <f t="shared" si="1"/>
        <v>-0.86564617753019413</v>
      </c>
      <c r="I58" s="10"/>
    </row>
    <row r="59" spans="1:9" ht="15.75" customHeight="1" x14ac:dyDescent="0.3">
      <c r="A59" s="3" t="s">
        <v>87</v>
      </c>
      <c r="B59" s="3" t="s">
        <v>43</v>
      </c>
      <c r="C59" s="3">
        <v>1842</v>
      </c>
      <c r="D59" s="3">
        <v>414</v>
      </c>
      <c r="E59" s="3">
        <v>307524</v>
      </c>
      <c r="F59" s="3">
        <v>1.76</v>
      </c>
      <c r="G59" s="3">
        <v>40478</v>
      </c>
      <c r="H59" s="9">
        <f t="shared" si="1"/>
        <v>0.54186990283685177</v>
      </c>
      <c r="I59" s="9"/>
    </row>
    <row r="60" spans="1:9" ht="15.75" customHeight="1" x14ac:dyDescent="0.3">
      <c r="A60" s="3" t="s">
        <v>87</v>
      </c>
      <c r="B60" s="3" t="s">
        <v>14</v>
      </c>
      <c r="C60" s="3">
        <v>751</v>
      </c>
      <c r="D60" s="3">
        <v>491</v>
      </c>
      <c r="E60" s="3">
        <v>434047</v>
      </c>
      <c r="F60" s="3">
        <v>9.24</v>
      </c>
      <c r="G60" s="3">
        <v>15476</v>
      </c>
      <c r="H60" s="9">
        <f t="shared" si="1"/>
        <v>-9.6054113955401144E-2</v>
      </c>
      <c r="I60" s="9"/>
    </row>
    <row r="61" spans="1:9" ht="15.75" customHeight="1" x14ac:dyDescent="0.3">
      <c r="A61" s="3" t="s">
        <v>87</v>
      </c>
      <c r="B61" s="3" t="s">
        <v>27</v>
      </c>
      <c r="C61" s="3">
        <v>1409</v>
      </c>
      <c r="D61" s="3">
        <v>309</v>
      </c>
      <c r="E61" s="3">
        <v>64583</v>
      </c>
      <c r="F61" s="3">
        <v>8.99</v>
      </c>
      <c r="G61" s="3">
        <v>10217</v>
      </c>
      <c r="H61" s="9">
        <f t="shared" si="1"/>
        <v>0.85705216543053131</v>
      </c>
      <c r="I61" s="9"/>
    </row>
    <row r="62" spans="1:9" ht="15.75" customHeight="1" x14ac:dyDescent="0.3">
      <c r="A62" s="3" t="s">
        <v>575</v>
      </c>
      <c r="B62" s="3" t="s">
        <v>33</v>
      </c>
      <c r="C62" s="3">
        <v>778</v>
      </c>
      <c r="D62" s="3">
        <v>401</v>
      </c>
      <c r="E62" s="3">
        <v>50793</v>
      </c>
      <c r="F62" s="3">
        <v>3.4</v>
      </c>
      <c r="G62" s="3">
        <v>21939</v>
      </c>
      <c r="H62" s="10">
        <f t="shared" si="1"/>
        <v>7.320536294371272</v>
      </c>
      <c r="I62" s="10"/>
    </row>
    <row r="63" spans="1:9" ht="15.75" customHeight="1" x14ac:dyDescent="0.3">
      <c r="A63" s="3" t="s">
        <v>575</v>
      </c>
      <c r="B63" s="3" t="s">
        <v>43</v>
      </c>
      <c r="C63" s="3">
        <v>443</v>
      </c>
      <c r="D63" s="3">
        <v>345</v>
      </c>
      <c r="E63" s="3">
        <v>474162</v>
      </c>
      <c r="F63" s="3">
        <v>9.1999999999999993</v>
      </c>
      <c r="G63" s="3">
        <v>47462</v>
      </c>
      <c r="H63" s="9">
        <f t="shared" si="1"/>
        <v>-0.49436479515439868</v>
      </c>
      <c r="I63" s="9"/>
    </row>
    <row r="64" spans="1:9" ht="15.75" customHeight="1" x14ac:dyDescent="0.3">
      <c r="A64" s="3" t="s">
        <v>575</v>
      </c>
      <c r="B64" s="3" t="s">
        <v>14</v>
      </c>
      <c r="C64" s="3">
        <v>1472</v>
      </c>
      <c r="D64" s="3">
        <v>347</v>
      </c>
      <c r="E64" s="3">
        <v>392355</v>
      </c>
      <c r="F64" s="3">
        <v>8.59</v>
      </c>
      <c r="G64" s="3">
        <v>30270</v>
      </c>
      <c r="H64" s="9">
        <f t="shared" si="1"/>
        <v>-0.31562997795363895</v>
      </c>
      <c r="I64" s="9"/>
    </row>
    <row r="65" spans="1:9" ht="15.75" customHeight="1" x14ac:dyDescent="0.3">
      <c r="A65" s="3" t="s">
        <v>575</v>
      </c>
      <c r="B65" s="3" t="s">
        <v>27</v>
      </c>
      <c r="C65" s="3">
        <v>123</v>
      </c>
      <c r="D65" s="3">
        <v>155</v>
      </c>
      <c r="E65" s="3">
        <v>119934</v>
      </c>
      <c r="F65" s="3">
        <v>3.5</v>
      </c>
      <c r="G65" s="3">
        <v>5442</v>
      </c>
      <c r="H65" s="9">
        <f t="shared" si="1"/>
        <v>-0.47323527940367199</v>
      </c>
      <c r="I65" s="9"/>
    </row>
    <row r="66" spans="1:9" ht="15.75" customHeight="1" x14ac:dyDescent="0.3">
      <c r="A66" s="3" t="s">
        <v>576</v>
      </c>
      <c r="B66" s="3" t="s">
        <v>33</v>
      </c>
      <c r="C66" s="3">
        <v>817</v>
      </c>
      <c r="D66" s="3">
        <v>151</v>
      </c>
      <c r="E66" s="3">
        <v>422625</v>
      </c>
      <c r="F66" s="3">
        <v>2.36</v>
      </c>
      <c r="G66" s="3">
        <v>1083</v>
      </c>
      <c r="H66" s="10">
        <f t="shared" ref="H66:H97" si="2">(E70-E66)/E66</f>
        <v>-0.12388287488908607</v>
      </c>
      <c r="I66" s="10"/>
    </row>
    <row r="67" spans="1:9" ht="15.75" customHeight="1" x14ac:dyDescent="0.3">
      <c r="A67" s="3" t="s">
        <v>576</v>
      </c>
      <c r="B67" s="3" t="s">
        <v>43</v>
      </c>
      <c r="C67" s="3">
        <v>198</v>
      </c>
      <c r="D67" s="3">
        <v>217</v>
      </c>
      <c r="E67" s="3">
        <v>239753</v>
      </c>
      <c r="F67" s="3">
        <v>7.36</v>
      </c>
      <c r="G67" s="3">
        <v>11901</v>
      </c>
      <c r="H67" s="9">
        <f t="shared" si="2"/>
        <v>0.89120886912781072</v>
      </c>
      <c r="I67" s="9"/>
    </row>
    <row r="68" spans="1:9" ht="15.75" customHeight="1" x14ac:dyDescent="0.3">
      <c r="A68" s="3" t="s">
        <v>576</v>
      </c>
      <c r="B68" s="3" t="s">
        <v>14</v>
      </c>
      <c r="C68" s="3">
        <v>1911</v>
      </c>
      <c r="D68" s="3">
        <v>231</v>
      </c>
      <c r="E68" s="3">
        <v>268516</v>
      </c>
      <c r="F68" s="3">
        <v>8.5500000000000007</v>
      </c>
      <c r="G68" s="3">
        <v>24018</v>
      </c>
      <c r="H68" s="9">
        <f t="shared" si="2"/>
        <v>-0.75827883627046433</v>
      </c>
      <c r="I68" s="9"/>
    </row>
    <row r="69" spans="1:9" ht="15.75" customHeight="1" x14ac:dyDescent="0.3">
      <c r="A69" s="3" t="s">
        <v>576</v>
      </c>
      <c r="B69" s="3" t="s">
        <v>27</v>
      </c>
      <c r="C69" s="3">
        <v>1218</v>
      </c>
      <c r="D69" s="3">
        <v>212</v>
      </c>
      <c r="E69" s="3">
        <v>63177</v>
      </c>
      <c r="F69" s="3">
        <v>8.1300000000000008</v>
      </c>
      <c r="G69" s="3">
        <v>38883</v>
      </c>
      <c r="H69" s="9">
        <f t="shared" si="2"/>
        <v>0.49358152492204443</v>
      </c>
      <c r="I69" s="9"/>
    </row>
    <row r="70" spans="1:9" ht="15.75" customHeight="1" x14ac:dyDescent="0.3">
      <c r="A70" s="3" t="s">
        <v>577</v>
      </c>
      <c r="B70" s="3" t="s">
        <v>33</v>
      </c>
      <c r="C70" s="3">
        <v>1433</v>
      </c>
      <c r="D70" s="3">
        <v>408</v>
      </c>
      <c r="E70" s="3">
        <v>370269</v>
      </c>
      <c r="F70" s="3">
        <v>3.3</v>
      </c>
      <c r="G70" s="3">
        <v>30575</v>
      </c>
      <c r="H70" s="10">
        <f t="shared" si="2"/>
        <v>-0.49446753576453878</v>
      </c>
      <c r="I70" s="10"/>
    </row>
    <row r="71" spans="1:9" ht="15.75" customHeight="1" x14ac:dyDescent="0.3">
      <c r="A71" s="3" t="s">
        <v>577</v>
      </c>
      <c r="B71" s="3" t="s">
        <v>43</v>
      </c>
      <c r="C71" s="3">
        <v>250</v>
      </c>
      <c r="D71" s="3">
        <v>429</v>
      </c>
      <c r="E71" s="3">
        <v>453423</v>
      </c>
      <c r="F71" s="3">
        <v>1.77</v>
      </c>
      <c r="G71" s="3">
        <v>2315</v>
      </c>
      <c r="H71" s="9">
        <f t="shared" si="2"/>
        <v>-0.16333534028931043</v>
      </c>
      <c r="I71" s="9"/>
    </row>
    <row r="72" spans="1:9" ht="15.75" customHeight="1" x14ac:dyDescent="0.3">
      <c r="A72" s="3" t="s">
        <v>577</v>
      </c>
      <c r="B72" s="3" t="s">
        <v>14</v>
      </c>
      <c r="C72" s="3">
        <v>752</v>
      </c>
      <c r="D72" s="3">
        <v>153</v>
      </c>
      <c r="E72" s="3">
        <v>64906</v>
      </c>
      <c r="F72" s="3">
        <v>2.09</v>
      </c>
      <c r="G72" s="3">
        <v>12148</v>
      </c>
      <c r="H72" s="9">
        <f t="shared" si="2"/>
        <v>6.3411703078297847</v>
      </c>
      <c r="I72" s="9"/>
    </row>
    <row r="73" spans="1:9" ht="15.75" customHeight="1" x14ac:dyDescent="0.3">
      <c r="A73" s="3" t="s">
        <v>577</v>
      </c>
      <c r="B73" s="3" t="s">
        <v>27</v>
      </c>
      <c r="C73" s="3">
        <v>1918</v>
      </c>
      <c r="D73" s="3">
        <v>212</v>
      </c>
      <c r="E73" s="3">
        <v>94360</v>
      </c>
      <c r="F73" s="3">
        <v>7.36</v>
      </c>
      <c r="G73" s="3">
        <v>36851</v>
      </c>
      <c r="H73" s="9">
        <f t="shared" si="2"/>
        <v>0.24806061890631623</v>
      </c>
      <c r="I73" s="9"/>
    </row>
    <row r="74" spans="1:9" ht="15.75" customHeight="1" x14ac:dyDescent="0.3">
      <c r="A74" s="3" t="s">
        <v>578</v>
      </c>
      <c r="B74" s="3" t="s">
        <v>33</v>
      </c>
      <c r="C74" s="3">
        <v>1939</v>
      </c>
      <c r="D74" s="3">
        <v>67</v>
      </c>
      <c r="E74" s="3">
        <v>187183</v>
      </c>
      <c r="F74" s="3">
        <v>6.25</v>
      </c>
      <c r="G74" s="3">
        <v>41215</v>
      </c>
      <c r="H74" s="10">
        <f t="shared" si="2"/>
        <v>1.0758028239743993</v>
      </c>
      <c r="I74" s="10"/>
    </row>
    <row r="75" spans="1:9" ht="15.75" customHeight="1" x14ac:dyDescent="0.3">
      <c r="A75" s="3" t="s">
        <v>578</v>
      </c>
      <c r="B75" s="3" t="s">
        <v>43</v>
      </c>
      <c r="C75" s="3">
        <v>1929</v>
      </c>
      <c r="D75" s="3">
        <v>267</v>
      </c>
      <c r="E75" s="3">
        <v>379363</v>
      </c>
      <c r="F75" s="3">
        <v>1.75</v>
      </c>
      <c r="G75" s="3">
        <v>43836</v>
      </c>
      <c r="H75" s="9">
        <f t="shared" si="2"/>
        <v>-0.58456939659376372</v>
      </c>
      <c r="I75" s="9"/>
    </row>
    <row r="76" spans="1:9" ht="15.75" customHeight="1" x14ac:dyDescent="0.3">
      <c r="A76" s="3" t="s">
        <v>578</v>
      </c>
      <c r="B76" s="3" t="s">
        <v>14</v>
      </c>
      <c r="C76" s="3">
        <v>437</v>
      </c>
      <c r="D76" s="3">
        <v>330</v>
      </c>
      <c r="E76" s="3">
        <v>476486</v>
      </c>
      <c r="F76" s="3">
        <v>4.97</v>
      </c>
      <c r="G76" s="3">
        <v>4509</v>
      </c>
      <c r="H76" s="9">
        <f t="shared" si="2"/>
        <v>-0.34988226306754028</v>
      </c>
      <c r="I76" s="9"/>
    </row>
    <row r="77" spans="1:9" ht="15.75" customHeight="1" x14ac:dyDescent="0.3">
      <c r="A77" s="3" t="s">
        <v>578</v>
      </c>
      <c r="B77" s="3" t="s">
        <v>27</v>
      </c>
      <c r="C77" s="3">
        <v>307</v>
      </c>
      <c r="D77" s="3">
        <v>189</v>
      </c>
      <c r="E77" s="3">
        <v>117767</v>
      </c>
      <c r="F77" s="3">
        <v>9.3000000000000007</v>
      </c>
      <c r="G77" s="3">
        <v>27822</v>
      </c>
      <c r="H77" s="9">
        <f t="shared" si="2"/>
        <v>0.69128873113860423</v>
      </c>
      <c r="I77" s="9"/>
    </row>
    <row r="78" spans="1:9" ht="15.75" customHeight="1" x14ac:dyDescent="0.3">
      <c r="A78" s="3" t="s">
        <v>579</v>
      </c>
      <c r="B78" s="3" t="s">
        <v>33</v>
      </c>
      <c r="C78" s="3">
        <v>1527</v>
      </c>
      <c r="D78" s="3">
        <v>303</v>
      </c>
      <c r="E78" s="3">
        <v>388555</v>
      </c>
      <c r="F78" s="3">
        <v>8.9</v>
      </c>
      <c r="G78" s="3">
        <v>36397</v>
      </c>
      <c r="H78" s="10">
        <f t="shared" si="2"/>
        <v>-8.0982100346154343E-2</v>
      </c>
      <c r="I78" s="10"/>
    </row>
    <row r="79" spans="1:9" ht="15.75" customHeight="1" x14ac:dyDescent="0.3">
      <c r="A79" s="3" t="s">
        <v>579</v>
      </c>
      <c r="B79" s="3" t="s">
        <v>43</v>
      </c>
      <c r="C79" s="3">
        <v>643</v>
      </c>
      <c r="D79" s="3">
        <v>358</v>
      </c>
      <c r="E79" s="3">
        <v>157599</v>
      </c>
      <c r="F79" s="3">
        <v>3.88</v>
      </c>
      <c r="G79" s="3">
        <v>7285</v>
      </c>
      <c r="H79" s="9">
        <f t="shared" si="2"/>
        <v>-0.85093814047043448</v>
      </c>
      <c r="I79" s="9"/>
    </row>
    <row r="80" spans="1:9" ht="15.75" customHeight="1" x14ac:dyDescent="0.3">
      <c r="A80" s="3" t="s">
        <v>579</v>
      </c>
      <c r="B80" s="3" t="s">
        <v>14</v>
      </c>
      <c r="C80" s="3">
        <v>201</v>
      </c>
      <c r="D80" s="3">
        <v>221</v>
      </c>
      <c r="E80" s="3">
        <v>309772</v>
      </c>
      <c r="F80" s="3">
        <v>5.9</v>
      </c>
      <c r="G80" s="3">
        <v>33174</v>
      </c>
      <c r="H80" s="9">
        <f t="shared" si="2"/>
        <v>-0.16620288470229716</v>
      </c>
      <c r="I80" s="9"/>
    </row>
    <row r="81" spans="1:9" ht="15.75" customHeight="1" x14ac:dyDescent="0.3">
      <c r="A81" s="3" t="s">
        <v>579</v>
      </c>
      <c r="B81" s="3" t="s">
        <v>27</v>
      </c>
      <c r="C81" s="3">
        <v>414</v>
      </c>
      <c r="D81" s="3">
        <v>47</v>
      </c>
      <c r="E81" s="3">
        <v>199178</v>
      </c>
      <c r="F81" s="3">
        <v>1.53</v>
      </c>
      <c r="G81" s="3">
        <v>6742</v>
      </c>
      <c r="H81" s="9">
        <f t="shared" si="2"/>
        <v>0.28985128879695549</v>
      </c>
      <c r="I81" s="9"/>
    </row>
    <row r="82" spans="1:9" ht="15.75" customHeight="1" x14ac:dyDescent="0.3">
      <c r="A82" s="3" t="s">
        <v>168</v>
      </c>
      <c r="B82" s="3" t="s">
        <v>33</v>
      </c>
      <c r="C82" s="3">
        <v>703</v>
      </c>
      <c r="D82" s="3">
        <v>441</v>
      </c>
      <c r="E82" s="3">
        <v>357089</v>
      </c>
      <c r="F82" s="3">
        <v>6.5</v>
      </c>
      <c r="G82" s="3">
        <v>32478</v>
      </c>
      <c r="H82" s="10">
        <f t="shared" si="2"/>
        <v>-2.959206248302244E-2</v>
      </c>
      <c r="I82" s="10"/>
    </row>
    <row r="83" spans="1:9" ht="15.75" customHeight="1" x14ac:dyDescent="0.3">
      <c r="A83" s="3" t="s">
        <v>168</v>
      </c>
      <c r="B83" s="3" t="s">
        <v>43</v>
      </c>
      <c r="C83" s="3">
        <v>508</v>
      </c>
      <c r="D83" s="3">
        <v>69</v>
      </c>
      <c r="E83" s="3">
        <v>23492</v>
      </c>
      <c r="F83" s="3">
        <v>3.16</v>
      </c>
      <c r="G83" s="3">
        <v>42824</v>
      </c>
      <c r="H83" s="9">
        <f t="shared" si="2"/>
        <v>7.9386599693512689</v>
      </c>
      <c r="I83" s="9"/>
    </row>
    <row r="84" spans="1:9" ht="15.75" customHeight="1" x14ac:dyDescent="0.3">
      <c r="A84" s="3" t="s">
        <v>168</v>
      </c>
      <c r="B84" s="3" t="s">
        <v>14</v>
      </c>
      <c r="C84" s="3">
        <v>697</v>
      </c>
      <c r="D84" s="3">
        <v>61</v>
      </c>
      <c r="E84" s="3">
        <v>258287</v>
      </c>
      <c r="F84" s="3">
        <v>8.25</v>
      </c>
      <c r="G84" s="3">
        <v>21208</v>
      </c>
      <c r="H84" s="9">
        <f t="shared" si="2"/>
        <v>-6.867167143526387E-2</v>
      </c>
      <c r="I84" s="9"/>
    </row>
    <row r="85" spans="1:9" ht="15.75" customHeight="1" x14ac:dyDescent="0.3">
      <c r="A85" s="3" t="s">
        <v>168</v>
      </c>
      <c r="B85" s="3" t="s">
        <v>27</v>
      </c>
      <c r="C85" s="3">
        <v>1707</v>
      </c>
      <c r="D85" s="3">
        <v>223</v>
      </c>
      <c r="E85" s="3">
        <v>256910</v>
      </c>
      <c r="F85" s="3">
        <v>5.41</v>
      </c>
      <c r="G85" s="3">
        <v>44321</v>
      </c>
      <c r="H85" s="9">
        <f t="shared" si="2"/>
        <v>0.19040520026468413</v>
      </c>
      <c r="I85" s="9"/>
    </row>
    <row r="86" spans="1:9" ht="15.75" customHeight="1" x14ac:dyDescent="0.3">
      <c r="A86" s="3" t="s">
        <v>201</v>
      </c>
      <c r="B86" s="3" t="s">
        <v>33</v>
      </c>
      <c r="C86" s="3">
        <v>642</v>
      </c>
      <c r="D86" s="3">
        <v>66</v>
      </c>
      <c r="E86" s="3">
        <v>346522</v>
      </c>
      <c r="F86" s="3">
        <v>5.85</v>
      </c>
      <c r="G86" s="3">
        <v>13116</v>
      </c>
      <c r="H86" s="10">
        <f t="shared" si="2"/>
        <v>-0.84146749701317669</v>
      </c>
      <c r="I86" s="10"/>
    </row>
    <row r="87" spans="1:9" ht="15.75" customHeight="1" x14ac:dyDescent="0.3">
      <c r="A87" s="3" t="s">
        <v>201</v>
      </c>
      <c r="B87" s="3" t="s">
        <v>43</v>
      </c>
      <c r="C87" s="3">
        <v>859</v>
      </c>
      <c r="D87" s="3">
        <v>473</v>
      </c>
      <c r="E87" s="3">
        <v>209987</v>
      </c>
      <c r="F87" s="3">
        <v>4.46</v>
      </c>
      <c r="G87" s="3">
        <v>30214</v>
      </c>
      <c r="H87" s="9">
        <f t="shared" si="2"/>
        <v>0.52002743026949283</v>
      </c>
      <c r="I87" s="9"/>
    </row>
    <row r="88" spans="1:9" ht="15.75" customHeight="1" x14ac:dyDescent="0.3">
      <c r="A88" s="3" t="s">
        <v>201</v>
      </c>
      <c r="B88" s="3" t="s">
        <v>14</v>
      </c>
      <c r="C88" s="3">
        <v>191</v>
      </c>
      <c r="D88" s="3">
        <v>154</v>
      </c>
      <c r="E88" s="3">
        <v>240550</v>
      </c>
      <c r="F88" s="3">
        <v>5.22</v>
      </c>
      <c r="G88" s="3">
        <v>15827</v>
      </c>
      <c r="H88" s="9">
        <f t="shared" si="2"/>
        <v>0.82531698191644154</v>
      </c>
      <c r="I88" s="9"/>
    </row>
    <row r="89" spans="1:9" ht="15.75" customHeight="1" x14ac:dyDescent="0.3">
      <c r="A89" s="3" t="s">
        <v>201</v>
      </c>
      <c r="B89" s="3" t="s">
        <v>27</v>
      </c>
      <c r="C89" s="3">
        <v>1814</v>
      </c>
      <c r="D89" s="3">
        <v>157</v>
      </c>
      <c r="E89" s="3">
        <v>305827</v>
      </c>
      <c r="F89" s="3">
        <v>1.99</v>
      </c>
      <c r="G89" s="3">
        <v>46643</v>
      </c>
      <c r="H89" s="9">
        <f t="shared" si="2"/>
        <v>-0.15329908739254547</v>
      </c>
      <c r="I89" s="9"/>
    </row>
    <row r="90" spans="1:9" ht="15.75" customHeight="1" x14ac:dyDescent="0.3">
      <c r="A90" s="3" t="s">
        <v>282</v>
      </c>
      <c r="B90" s="3" t="s">
        <v>33</v>
      </c>
      <c r="C90" s="3">
        <v>1466</v>
      </c>
      <c r="D90" s="3">
        <v>69</v>
      </c>
      <c r="E90" s="3">
        <v>54935</v>
      </c>
      <c r="F90" s="3">
        <v>6.85</v>
      </c>
      <c r="G90" s="3">
        <v>36484</v>
      </c>
      <c r="H90" s="10">
        <f t="shared" si="2"/>
        <v>-6.4439792482024208E-2</v>
      </c>
      <c r="I90" s="10"/>
    </row>
    <row r="91" spans="1:9" ht="15.75" customHeight="1" x14ac:dyDescent="0.3">
      <c r="A91" s="3" t="s">
        <v>282</v>
      </c>
      <c r="B91" s="3" t="s">
        <v>43</v>
      </c>
      <c r="C91" s="3">
        <v>947</v>
      </c>
      <c r="D91" s="3">
        <v>407</v>
      </c>
      <c r="E91" s="3">
        <v>319186</v>
      </c>
      <c r="F91" s="3">
        <v>3.32</v>
      </c>
      <c r="G91" s="3">
        <v>4996</v>
      </c>
      <c r="H91" s="9">
        <f t="shared" si="2"/>
        <v>-3.0399202972561452E-2</v>
      </c>
      <c r="I91" s="9"/>
    </row>
    <row r="92" spans="1:9" ht="15.75" customHeight="1" x14ac:dyDescent="0.3">
      <c r="A92" s="3" t="s">
        <v>282</v>
      </c>
      <c r="B92" s="3" t="s">
        <v>14</v>
      </c>
      <c r="C92" s="3">
        <v>1821</v>
      </c>
      <c r="D92" s="3">
        <v>218</v>
      </c>
      <c r="E92" s="3">
        <v>439080</v>
      </c>
      <c r="F92" s="3">
        <v>5.68</v>
      </c>
      <c r="G92" s="3">
        <v>36095</v>
      </c>
      <c r="H92" s="9">
        <f t="shared" si="2"/>
        <v>-0.80116379703015395</v>
      </c>
      <c r="I92" s="9"/>
    </row>
    <row r="93" spans="1:9" ht="15.75" customHeight="1" x14ac:dyDescent="0.3">
      <c r="A93" s="3" t="s">
        <v>282</v>
      </c>
      <c r="B93" s="3" t="s">
        <v>27</v>
      </c>
      <c r="C93" s="3">
        <v>1507</v>
      </c>
      <c r="D93" s="3">
        <v>463</v>
      </c>
      <c r="E93" s="3">
        <v>258944</v>
      </c>
      <c r="F93" s="3">
        <v>6.08</v>
      </c>
      <c r="G93" s="3">
        <v>16443</v>
      </c>
      <c r="H93" s="9">
        <f t="shared" si="2"/>
        <v>-0.5323660714285714</v>
      </c>
      <c r="I93" s="9"/>
    </row>
    <row r="94" spans="1:9" ht="15.75" customHeight="1" x14ac:dyDescent="0.3">
      <c r="A94" s="3" t="s">
        <v>580</v>
      </c>
      <c r="B94" s="3" t="s">
        <v>33</v>
      </c>
      <c r="C94" s="3">
        <v>1075</v>
      </c>
      <c r="D94" s="3">
        <v>173</v>
      </c>
      <c r="E94" s="3">
        <v>51395</v>
      </c>
      <c r="F94" s="3">
        <v>4.66</v>
      </c>
      <c r="G94" s="3">
        <v>47812</v>
      </c>
      <c r="H94" s="10">
        <f t="shared" si="2"/>
        <v>-5.992800856114408E-3</v>
      </c>
      <c r="I94" s="10"/>
    </row>
    <row r="95" spans="1:9" ht="15.75" customHeight="1" x14ac:dyDescent="0.3">
      <c r="A95" s="3" t="s">
        <v>580</v>
      </c>
      <c r="B95" s="3" t="s">
        <v>43</v>
      </c>
      <c r="C95" s="3">
        <v>171</v>
      </c>
      <c r="D95" s="3">
        <v>277</v>
      </c>
      <c r="E95" s="3">
        <v>309483</v>
      </c>
      <c r="F95" s="3">
        <v>8.6999999999999993</v>
      </c>
      <c r="G95" s="3">
        <v>38452</v>
      </c>
      <c r="H95" s="9">
        <f t="shared" si="2"/>
        <v>9.4880817363150807E-2</v>
      </c>
      <c r="I95" s="9"/>
    </row>
    <row r="96" spans="1:9" ht="15.75" customHeight="1" x14ac:dyDescent="0.3">
      <c r="A96" s="3" t="s">
        <v>580</v>
      </c>
      <c r="B96" s="3" t="s">
        <v>14</v>
      </c>
      <c r="C96" s="3">
        <v>1487</v>
      </c>
      <c r="D96" s="3">
        <v>337</v>
      </c>
      <c r="E96" s="3">
        <v>87305</v>
      </c>
      <c r="F96" s="3">
        <v>2.46</v>
      </c>
      <c r="G96" s="3">
        <v>30428</v>
      </c>
      <c r="H96" s="9">
        <f t="shared" si="2"/>
        <v>4.5841360746807167</v>
      </c>
      <c r="I96" s="9"/>
    </row>
    <row r="97" spans="1:9" ht="15.75" customHeight="1" x14ac:dyDescent="0.3">
      <c r="A97" s="3" t="s">
        <v>580</v>
      </c>
      <c r="B97" s="3" t="s">
        <v>27</v>
      </c>
      <c r="C97" s="3">
        <v>454</v>
      </c>
      <c r="D97" s="3">
        <v>105</v>
      </c>
      <c r="E97" s="3">
        <v>121091</v>
      </c>
      <c r="F97" s="3">
        <v>7.97</v>
      </c>
      <c r="G97" s="3">
        <v>9269</v>
      </c>
      <c r="H97" s="9">
        <f t="shared" si="2"/>
        <v>1.4914733547497336</v>
      </c>
      <c r="I97" s="9"/>
    </row>
    <row r="98" spans="1:9" ht="15.75" customHeight="1" x14ac:dyDescent="0.3">
      <c r="A98" s="3" t="s">
        <v>67</v>
      </c>
      <c r="B98" s="3" t="s">
        <v>33</v>
      </c>
      <c r="C98" s="3">
        <v>187</v>
      </c>
      <c r="D98" s="3">
        <v>236</v>
      </c>
      <c r="E98" s="3">
        <v>51087</v>
      </c>
      <c r="F98" s="3">
        <v>9.41</v>
      </c>
      <c r="G98" s="3">
        <v>29533</v>
      </c>
      <c r="H98" s="10">
        <f t="shared" ref="H98:H129" si="3">(E102-E98)/E98</f>
        <v>4.5291169964961728</v>
      </c>
      <c r="I98" s="10"/>
    </row>
    <row r="99" spans="1:9" ht="15.75" customHeight="1" x14ac:dyDescent="0.3">
      <c r="A99" s="3" t="s">
        <v>67</v>
      </c>
      <c r="B99" s="3" t="s">
        <v>43</v>
      </c>
      <c r="C99" s="3">
        <v>513</v>
      </c>
      <c r="D99" s="3">
        <v>441</v>
      </c>
      <c r="E99" s="3">
        <v>338847</v>
      </c>
      <c r="F99" s="3">
        <v>2.68</v>
      </c>
      <c r="G99" s="3">
        <v>39997</v>
      </c>
      <c r="H99" s="9">
        <f t="shared" si="3"/>
        <v>-6.4512892249304257E-3</v>
      </c>
      <c r="I99" s="9"/>
    </row>
    <row r="100" spans="1:9" ht="15.75" customHeight="1" x14ac:dyDescent="0.3">
      <c r="A100" s="3" t="s">
        <v>67</v>
      </c>
      <c r="B100" s="3" t="s">
        <v>14</v>
      </c>
      <c r="C100" s="3">
        <v>628</v>
      </c>
      <c r="D100" s="3">
        <v>183</v>
      </c>
      <c r="E100" s="3">
        <v>487523</v>
      </c>
      <c r="F100" s="3">
        <v>7.32</v>
      </c>
      <c r="G100" s="3">
        <v>5391</v>
      </c>
      <c r="H100" s="9">
        <f t="shared" si="3"/>
        <v>-0.81856240628647259</v>
      </c>
      <c r="I100" s="9"/>
    </row>
    <row r="101" spans="1:9" ht="15.75" customHeight="1" x14ac:dyDescent="0.3">
      <c r="A101" s="3" t="s">
        <v>67</v>
      </c>
      <c r="B101" s="3" t="s">
        <v>27</v>
      </c>
      <c r="C101" s="3">
        <v>278</v>
      </c>
      <c r="D101" s="3">
        <v>218</v>
      </c>
      <c r="E101" s="3">
        <v>301695</v>
      </c>
      <c r="F101" s="3">
        <v>4.68</v>
      </c>
      <c r="G101" s="3">
        <v>22373</v>
      </c>
      <c r="H101" s="9">
        <f t="shared" si="3"/>
        <v>-0.7927211256401332</v>
      </c>
      <c r="I101" s="9"/>
    </row>
    <row r="102" spans="1:9" ht="15.75" customHeight="1" x14ac:dyDescent="0.3">
      <c r="A102" s="3" t="s">
        <v>129</v>
      </c>
      <c r="B102" s="3" t="s">
        <v>33</v>
      </c>
      <c r="C102" s="3">
        <v>1854</v>
      </c>
      <c r="D102" s="3">
        <v>161</v>
      </c>
      <c r="E102" s="3">
        <v>282466</v>
      </c>
      <c r="F102" s="3">
        <v>5.17</v>
      </c>
      <c r="G102" s="3">
        <v>1810</v>
      </c>
      <c r="H102" s="10">
        <f t="shared" si="3"/>
        <v>0.49383288608186471</v>
      </c>
      <c r="I102" s="10"/>
    </row>
    <row r="103" spans="1:9" ht="15.75" customHeight="1" x14ac:dyDescent="0.3">
      <c r="A103" s="3" t="s">
        <v>129</v>
      </c>
      <c r="B103" s="3" t="s">
        <v>43</v>
      </c>
      <c r="C103" s="3">
        <v>1710</v>
      </c>
      <c r="D103" s="3">
        <v>378</v>
      </c>
      <c r="E103" s="3">
        <v>336661</v>
      </c>
      <c r="F103" s="3">
        <v>6.2</v>
      </c>
      <c r="G103" s="3">
        <v>28498</v>
      </c>
      <c r="H103" s="9">
        <f t="shared" si="3"/>
        <v>0.39686212540211074</v>
      </c>
      <c r="I103" s="9"/>
    </row>
    <row r="104" spans="1:9" ht="15.75" customHeight="1" x14ac:dyDescent="0.3">
      <c r="A104" s="3" t="s">
        <v>129</v>
      </c>
      <c r="B104" s="3" t="s">
        <v>14</v>
      </c>
      <c r="C104" s="3">
        <v>330</v>
      </c>
      <c r="D104" s="3">
        <v>232</v>
      </c>
      <c r="E104" s="3">
        <v>88455</v>
      </c>
      <c r="F104" s="3">
        <v>2.69</v>
      </c>
      <c r="G104" s="3">
        <v>39530</v>
      </c>
      <c r="H104" s="9">
        <f t="shared" si="3"/>
        <v>2.5035215646373863</v>
      </c>
      <c r="I104" s="9"/>
    </row>
    <row r="105" spans="1:9" ht="15.75" customHeight="1" x14ac:dyDescent="0.3">
      <c r="A105" s="3" t="s">
        <v>129</v>
      </c>
      <c r="B105" s="3" t="s">
        <v>27</v>
      </c>
      <c r="C105" s="3">
        <v>1293</v>
      </c>
      <c r="D105" s="3">
        <v>408</v>
      </c>
      <c r="E105" s="3">
        <v>62535</v>
      </c>
      <c r="F105" s="3">
        <v>8.9</v>
      </c>
      <c r="G105" s="3">
        <v>37876</v>
      </c>
      <c r="H105" s="9">
        <f t="shared" si="3"/>
        <v>2.5384024946030221</v>
      </c>
      <c r="I105" s="9"/>
    </row>
    <row r="106" spans="1:9" ht="15.75" customHeight="1" x14ac:dyDescent="0.3">
      <c r="A106" s="3" t="s">
        <v>581</v>
      </c>
      <c r="B106" s="3" t="s">
        <v>33</v>
      </c>
      <c r="C106" s="3">
        <v>1696</v>
      </c>
      <c r="D106" s="3">
        <v>71</v>
      </c>
      <c r="E106" s="3">
        <v>421957</v>
      </c>
      <c r="F106" s="3">
        <v>3.79</v>
      </c>
      <c r="G106" s="3">
        <v>36103</v>
      </c>
      <c r="H106" s="10">
        <f t="shared" si="3"/>
        <v>-0.47715999497579137</v>
      </c>
      <c r="I106" s="10"/>
    </row>
    <row r="107" spans="1:9" ht="15.75" customHeight="1" x14ac:dyDescent="0.3">
      <c r="A107" s="3" t="s">
        <v>581</v>
      </c>
      <c r="B107" s="3" t="s">
        <v>43</v>
      </c>
      <c r="C107" s="3">
        <v>1902</v>
      </c>
      <c r="D107" s="3">
        <v>196</v>
      </c>
      <c r="E107" s="3">
        <v>470269</v>
      </c>
      <c r="F107" s="3">
        <v>4.79</v>
      </c>
      <c r="G107" s="3">
        <v>26103</v>
      </c>
      <c r="H107" s="9">
        <f t="shared" si="3"/>
        <v>-0.92378404700288563</v>
      </c>
      <c r="I107" s="9"/>
    </row>
    <row r="108" spans="1:9" ht="15.75" customHeight="1" x14ac:dyDescent="0.3">
      <c r="A108" s="3" t="s">
        <v>581</v>
      </c>
      <c r="B108" s="3" t="s">
        <v>14</v>
      </c>
      <c r="C108" s="3">
        <v>1441</v>
      </c>
      <c r="D108" s="3">
        <v>268</v>
      </c>
      <c r="E108" s="3">
        <v>309904</v>
      </c>
      <c r="F108" s="3">
        <v>6.37</v>
      </c>
      <c r="G108" s="3">
        <v>3455</v>
      </c>
      <c r="H108" s="9">
        <f t="shared" si="3"/>
        <v>-0.93350521451804425</v>
      </c>
      <c r="I108" s="9"/>
    </row>
    <row r="109" spans="1:9" ht="15.75" customHeight="1" x14ac:dyDescent="0.3">
      <c r="A109" s="3" t="s">
        <v>581</v>
      </c>
      <c r="B109" s="3" t="s">
        <v>27</v>
      </c>
      <c r="C109" s="3">
        <v>452</v>
      </c>
      <c r="D109" s="3">
        <v>161</v>
      </c>
      <c r="E109" s="3">
        <v>221274</v>
      </c>
      <c r="F109" s="3">
        <v>2.65</v>
      </c>
      <c r="G109" s="3">
        <v>40888</v>
      </c>
      <c r="H109" s="9">
        <f t="shared" si="3"/>
        <v>1.0422372262443849</v>
      </c>
      <c r="I109" s="9"/>
    </row>
    <row r="110" spans="1:9" ht="15.75" customHeight="1" x14ac:dyDescent="0.3">
      <c r="A110" s="3" t="s">
        <v>221</v>
      </c>
      <c r="B110" s="3" t="s">
        <v>33</v>
      </c>
      <c r="C110" s="3">
        <v>1494</v>
      </c>
      <c r="D110" s="3">
        <v>375</v>
      </c>
      <c r="E110" s="3">
        <v>220616</v>
      </c>
      <c r="F110" s="3">
        <v>1.81</v>
      </c>
      <c r="G110" s="3">
        <v>22724</v>
      </c>
      <c r="H110" s="10">
        <f t="shared" si="3"/>
        <v>1.1102413242919824</v>
      </c>
      <c r="I110" s="10"/>
    </row>
    <row r="111" spans="1:9" ht="15.75" customHeight="1" x14ac:dyDescent="0.3">
      <c r="A111" s="3" t="s">
        <v>221</v>
      </c>
      <c r="B111" s="3" t="s">
        <v>43</v>
      </c>
      <c r="C111" s="3">
        <v>1514</v>
      </c>
      <c r="D111" s="3">
        <v>141</v>
      </c>
      <c r="E111" s="3">
        <v>35842</v>
      </c>
      <c r="F111" s="3">
        <v>7.47</v>
      </c>
      <c r="G111" s="3">
        <v>18601</v>
      </c>
      <c r="H111" s="9">
        <f t="shared" si="3"/>
        <v>10.601333630935773</v>
      </c>
      <c r="I111" s="9"/>
    </row>
    <row r="112" spans="1:9" ht="15.75" customHeight="1" x14ac:dyDescent="0.3">
      <c r="A112" s="3" t="s">
        <v>221</v>
      </c>
      <c r="B112" s="3" t="s">
        <v>14</v>
      </c>
      <c r="C112" s="3">
        <v>1937</v>
      </c>
      <c r="D112" s="3">
        <v>210</v>
      </c>
      <c r="E112" s="3">
        <v>20607</v>
      </c>
      <c r="F112" s="3">
        <v>4.2</v>
      </c>
      <c r="G112" s="3">
        <v>20861</v>
      </c>
      <c r="H112" s="9">
        <f t="shared" si="3"/>
        <v>14.877274712476343</v>
      </c>
      <c r="I112" s="9"/>
    </row>
    <row r="113" spans="1:9" ht="15.75" customHeight="1" x14ac:dyDescent="0.3">
      <c r="A113" s="3" t="s">
        <v>221</v>
      </c>
      <c r="B113" s="3" t="s">
        <v>27</v>
      </c>
      <c r="C113" s="3">
        <v>736</v>
      </c>
      <c r="D113" s="3">
        <v>163</v>
      </c>
      <c r="E113" s="3">
        <v>451894</v>
      </c>
      <c r="F113" s="3">
        <v>5.43</v>
      </c>
      <c r="G113" s="3">
        <v>46625</v>
      </c>
      <c r="H113" s="9">
        <f t="shared" si="3"/>
        <v>8.1893098824060512E-2</v>
      </c>
      <c r="I113" s="9"/>
    </row>
    <row r="114" spans="1:9" ht="15.75" customHeight="1" x14ac:dyDescent="0.3">
      <c r="A114" s="3" t="s">
        <v>112</v>
      </c>
      <c r="B114" s="3" t="s">
        <v>33</v>
      </c>
      <c r="C114" s="3">
        <v>1502</v>
      </c>
      <c r="D114" s="3">
        <v>70</v>
      </c>
      <c r="E114" s="3">
        <v>465553</v>
      </c>
      <c r="F114" s="3">
        <v>3.32</v>
      </c>
      <c r="G114" s="3">
        <v>20692</v>
      </c>
      <c r="H114" s="10">
        <f t="shared" si="3"/>
        <v>-0.39685707105313467</v>
      </c>
      <c r="I114" s="10"/>
    </row>
    <row r="115" spans="1:9" ht="15.75" customHeight="1" x14ac:dyDescent="0.3">
      <c r="A115" s="3" t="s">
        <v>112</v>
      </c>
      <c r="B115" s="3" t="s">
        <v>43</v>
      </c>
      <c r="C115" s="3">
        <v>1623</v>
      </c>
      <c r="D115" s="3">
        <v>246</v>
      </c>
      <c r="E115" s="3">
        <v>415815</v>
      </c>
      <c r="F115" s="3">
        <v>8.11</v>
      </c>
      <c r="G115" s="3">
        <v>18656</v>
      </c>
      <c r="H115" s="9">
        <f t="shared" si="3"/>
        <v>-0.77550833904500804</v>
      </c>
      <c r="I115" s="9"/>
    </row>
    <row r="116" spans="1:9" ht="15.75" customHeight="1" x14ac:dyDescent="0.3">
      <c r="A116" s="3" t="s">
        <v>112</v>
      </c>
      <c r="B116" s="3" t="s">
        <v>14</v>
      </c>
      <c r="C116" s="3">
        <v>1592</v>
      </c>
      <c r="D116" s="3">
        <v>233</v>
      </c>
      <c r="E116" s="3">
        <v>327183</v>
      </c>
      <c r="F116" s="3">
        <v>6.66</v>
      </c>
      <c r="G116" s="3">
        <v>13316</v>
      </c>
      <c r="H116" s="9">
        <f t="shared" si="3"/>
        <v>-0.75206841431247951</v>
      </c>
      <c r="I116" s="9"/>
    </row>
    <row r="117" spans="1:9" ht="15.75" customHeight="1" x14ac:dyDescent="0.3">
      <c r="A117" s="3" t="s">
        <v>112</v>
      </c>
      <c r="B117" s="3" t="s">
        <v>27</v>
      </c>
      <c r="C117" s="3">
        <v>1004</v>
      </c>
      <c r="D117" s="3">
        <v>128</v>
      </c>
      <c r="E117" s="3">
        <v>488901</v>
      </c>
      <c r="F117" s="3">
        <v>8.09</v>
      </c>
      <c r="G117" s="3">
        <v>49558</v>
      </c>
      <c r="H117" s="9">
        <f t="shared" si="3"/>
        <v>-0.94850286663353112</v>
      </c>
      <c r="I117" s="9"/>
    </row>
    <row r="118" spans="1:9" ht="15.75" customHeight="1" x14ac:dyDescent="0.3">
      <c r="A118" s="3" t="s">
        <v>15</v>
      </c>
      <c r="B118" s="3" t="s">
        <v>33</v>
      </c>
      <c r="C118" s="3">
        <v>1092</v>
      </c>
      <c r="D118" s="3">
        <v>408</v>
      </c>
      <c r="E118" s="3">
        <v>280795</v>
      </c>
      <c r="F118" s="3">
        <v>8.44</v>
      </c>
      <c r="G118" s="3">
        <v>4683</v>
      </c>
      <c r="H118" s="10">
        <f t="shared" si="3"/>
        <v>-0.49855232464965543</v>
      </c>
      <c r="I118" s="10"/>
    </row>
    <row r="119" spans="1:9" ht="15.75" customHeight="1" x14ac:dyDescent="0.3">
      <c r="A119" s="3" t="s">
        <v>15</v>
      </c>
      <c r="B119" s="3" t="s">
        <v>43</v>
      </c>
      <c r="C119" s="3">
        <v>1155</v>
      </c>
      <c r="D119" s="3">
        <v>425</v>
      </c>
      <c r="E119" s="3">
        <v>93347</v>
      </c>
      <c r="F119" s="3">
        <v>2.02</v>
      </c>
      <c r="G119" s="3">
        <v>47502</v>
      </c>
      <c r="H119" s="9">
        <f t="shared" si="3"/>
        <v>3.0647369492324339</v>
      </c>
      <c r="I119" s="9"/>
    </row>
    <row r="120" spans="1:9" ht="15.75" customHeight="1" x14ac:dyDescent="0.3">
      <c r="A120" s="3" t="s">
        <v>15</v>
      </c>
      <c r="B120" s="3" t="s">
        <v>14</v>
      </c>
      <c r="C120" s="3">
        <v>1137</v>
      </c>
      <c r="D120" s="3">
        <v>226</v>
      </c>
      <c r="E120" s="3">
        <v>81119</v>
      </c>
      <c r="F120" s="3">
        <v>7.74</v>
      </c>
      <c r="G120" s="3">
        <v>35359</v>
      </c>
      <c r="H120" s="9">
        <f t="shared" si="3"/>
        <v>2.3879978796582799</v>
      </c>
      <c r="I120" s="9"/>
    </row>
    <row r="121" spans="1:9" ht="15.75" customHeight="1" x14ac:dyDescent="0.3">
      <c r="A121" s="3" t="s">
        <v>15</v>
      </c>
      <c r="B121" s="3" t="s">
        <v>27</v>
      </c>
      <c r="C121" s="3">
        <v>1900</v>
      </c>
      <c r="D121" s="3">
        <v>311</v>
      </c>
      <c r="E121" s="3">
        <v>25177</v>
      </c>
      <c r="F121" s="3">
        <v>2.89</v>
      </c>
      <c r="G121" s="3">
        <v>14154</v>
      </c>
      <c r="H121" s="9">
        <f t="shared" si="3"/>
        <v>4.435317948921635</v>
      </c>
      <c r="I121" s="9"/>
    </row>
    <row r="122" spans="1:9" ht="15.75" customHeight="1" x14ac:dyDescent="0.3">
      <c r="A122" s="3" t="s">
        <v>582</v>
      </c>
      <c r="B122" s="3" t="s">
        <v>33</v>
      </c>
      <c r="C122" s="3">
        <v>1814</v>
      </c>
      <c r="D122" s="3">
        <v>49</v>
      </c>
      <c r="E122" s="3">
        <v>140804</v>
      </c>
      <c r="F122" s="3">
        <v>1.76</v>
      </c>
      <c r="G122" s="3">
        <v>4313</v>
      </c>
      <c r="H122" s="10">
        <f t="shared" si="3"/>
        <v>2.3122780602823783</v>
      </c>
      <c r="I122" s="10"/>
    </row>
    <row r="123" spans="1:9" ht="15.75" customHeight="1" x14ac:dyDescent="0.3">
      <c r="A123" s="3" t="s">
        <v>582</v>
      </c>
      <c r="B123" s="3" t="s">
        <v>43</v>
      </c>
      <c r="C123" s="3">
        <v>1980</v>
      </c>
      <c r="D123" s="3">
        <v>204</v>
      </c>
      <c r="E123" s="3">
        <v>379431</v>
      </c>
      <c r="F123" s="3">
        <v>3.09</v>
      </c>
      <c r="G123" s="3">
        <v>25140</v>
      </c>
      <c r="H123" s="9">
        <f t="shared" si="3"/>
        <v>-0.74770643410791426</v>
      </c>
      <c r="I123" s="9"/>
    </row>
    <row r="124" spans="1:9" ht="15.75" customHeight="1" x14ac:dyDescent="0.3">
      <c r="A124" s="3" t="s">
        <v>582</v>
      </c>
      <c r="B124" s="3" t="s">
        <v>14</v>
      </c>
      <c r="C124" s="3">
        <v>1786</v>
      </c>
      <c r="D124" s="3">
        <v>257</v>
      </c>
      <c r="E124" s="3">
        <v>274831</v>
      </c>
      <c r="F124" s="3">
        <v>4.68</v>
      </c>
      <c r="G124" s="3">
        <v>9118</v>
      </c>
      <c r="H124" s="9">
        <f t="shared" si="3"/>
        <v>0.35048811815261016</v>
      </c>
      <c r="I124" s="9"/>
    </row>
    <row r="125" spans="1:9" ht="15.75" customHeight="1" x14ac:dyDescent="0.3">
      <c r="A125" s="3" t="s">
        <v>582</v>
      </c>
      <c r="B125" s="3" t="s">
        <v>27</v>
      </c>
      <c r="C125" s="3">
        <v>1495</v>
      </c>
      <c r="D125" s="3">
        <v>35</v>
      </c>
      <c r="E125" s="3">
        <v>136845</v>
      </c>
      <c r="F125" s="3">
        <v>4.4800000000000004</v>
      </c>
      <c r="G125" s="3">
        <v>39931</v>
      </c>
      <c r="H125" s="9">
        <f t="shared" si="3"/>
        <v>-0.3027878256421499</v>
      </c>
      <c r="I125" s="9"/>
    </row>
    <row r="126" spans="1:9" ht="15.75" customHeight="1" x14ac:dyDescent="0.3">
      <c r="A126" s="3" t="s">
        <v>125</v>
      </c>
      <c r="B126" s="3" t="s">
        <v>33</v>
      </c>
      <c r="C126" s="3">
        <v>1013</v>
      </c>
      <c r="D126" s="3">
        <v>110</v>
      </c>
      <c r="E126" s="3">
        <v>466382</v>
      </c>
      <c r="F126" s="3">
        <v>5.3</v>
      </c>
      <c r="G126" s="3">
        <v>37132</v>
      </c>
      <c r="H126" s="10">
        <f t="shared" si="3"/>
        <v>-0.25080084565870897</v>
      </c>
      <c r="I126" s="10"/>
    </row>
    <row r="127" spans="1:9" ht="15.75" customHeight="1" x14ac:dyDescent="0.3">
      <c r="A127" s="3" t="s">
        <v>125</v>
      </c>
      <c r="B127" s="3" t="s">
        <v>43</v>
      </c>
      <c r="C127" s="3">
        <v>816</v>
      </c>
      <c r="D127" s="3">
        <v>196</v>
      </c>
      <c r="E127" s="3">
        <v>95728</v>
      </c>
      <c r="F127" s="3">
        <v>8.1999999999999993</v>
      </c>
      <c r="G127" s="3">
        <v>17951</v>
      </c>
      <c r="H127" s="9">
        <f t="shared" si="3"/>
        <v>1.3472651679759318</v>
      </c>
      <c r="I127" s="9"/>
    </row>
    <row r="128" spans="1:9" ht="15.75" customHeight="1" x14ac:dyDescent="0.3">
      <c r="A128" s="3" t="s">
        <v>125</v>
      </c>
      <c r="B128" s="3" t="s">
        <v>14</v>
      </c>
      <c r="C128" s="3">
        <v>1633</v>
      </c>
      <c r="D128" s="3">
        <v>445</v>
      </c>
      <c r="E128" s="3">
        <v>371156</v>
      </c>
      <c r="F128" s="3">
        <v>2.2200000000000002</v>
      </c>
      <c r="G128" s="3">
        <v>2798</v>
      </c>
      <c r="H128" s="9">
        <f t="shared" si="3"/>
        <v>0.3145308172304907</v>
      </c>
      <c r="I128" s="9"/>
    </row>
    <row r="129" spans="1:9" ht="15.75" customHeight="1" x14ac:dyDescent="0.3">
      <c r="A129" s="3" t="s">
        <v>125</v>
      </c>
      <c r="B129" s="3" t="s">
        <v>27</v>
      </c>
      <c r="C129" s="3">
        <v>891</v>
      </c>
      <c r="D129" s="3">
        <v>45</v>
      </c>
      <c r="E129" s="3">
        <v>95410</v>
      </c>
      <c r="F129" s="3">
        <v>8.33</v>
      </c>
      <c r="G129" s="3">
        <v>15045</v>
      </c>
      <c r="H129" s="9">
        <f t="shared" si="3"/>
        <v>-0.84868462425322289</v>
      </c>
      <c r="I129" s="9"/>
    </row>
    <row r="130" spans="1:9" ht="15.75" customHeight="1" x14ac:dyDescent="0.3">
      <c r="A130" s="3" t="s">
        <v>583</v>
      </c>
      <c r="B130" s="3" t="s">
        <v>33</v>
      </c>
      <c r="C130" s="3">
        <v>1855</v>
      </c>
      <c r="D130" s="3">
        <v>133</v>
      </c>
      <c r="E130" s="3">
        <v>349413</v>
      </c>
      <c r="F130" s="3">
        <v>3.3</v>
      </c>
      <c r="G130" s="3">
        <v>14548</v>
      </c>
      <c r="H130" s="10">
        <f t="shared" ref="H130:H161" si="4">(E134-E130)/E130</f>
        <v>9.8073053950482672E-2</v>
      </c>
      <c r="I130" s="10"/>
    </row>
    <row r="131" spans="1:9" ht="15.75" customHeight="1" x14ac:dyDescent="0.3">
      <c r="A131" s="3" t="s">
        <v>583</v>
      </c>
      <c r="B131" s="3" t="s">
        <v>43</v>
      </c>
      <c r="C131" s="3">
        <v>651</v>
      </c>
      <c r="D131" s="3">
        <v>353</v>
      </c>
      <c r="E131" s="3">
        <v>224699</v>
      </c>
      <c r="F131" s="3">
        <v>5.61</v>
      </c>
      <c r="G131" s="3">
        <v>45708</v>
      </c>
      <c r="H131" s="9">
        <f t="shared" si="4"/>
        <v>1.1339213792673755</v>
      </c>
      <c r="I131" s="9"/>
    </row>
    <row r="132" spans="1:9" ht="15.75" customHeight="1" x14ac:dyDescent="0.3">
      <c r="A132" s="3" t="s">
        <v>583</v>
      </c>
      <c r="B132" s="3" t="s">
        <v>14</v>
      </c>
      <c r="C132" s="3">
        <v>118</v>
      </c>
      <c r="D132" s="3">
        <v>262</v>
      </c>
      <c r="E132" s="3">
        <v>487896</v>
      </c>
      <c r="F132" s="3">
        <v>2.56</v>
      </c>
      <c r="G132" s="3">
        <v>12350</v>
      </c>
      <c r="H132" s="9">
        <f t="shared" si="4"/>
        <v>-0.74501943037040685</v>
      </c>
      <c r="I132" s="9"/>
    </row>
    <row r="133" spans="1:9" ht="15.75" customHeight="1" x14ac:dyDescent="0.3">
      <c r="A133" s="3" t="s">
        <v>583</v>
      </c>
      <c r="B133" s="3" t="s">
        <v>27</v>
      </c>
      <c r="C133" s="3">
        <v>1331</v>
      </c>
      <c r="D133" s="3">
        <v>430</v>
      </c>
      <c r="E133" s="3">
        <v>14437</v>
      </c>
      <c r="F133" s="3">
        <v>3.29</v>
      </c>
      <c r="G133" s="3">
        <v>40868</v>
      </c>
      <c r="H133" s="9">
        <f t="shared" si="4"/>
        <v>22.339267160767474</v>
      </c>
      <c r="I133" s="9"/>
    </row>
    <row r="134" spans="1:9" ht="15.75" customHeight="1" x14ac:dyDescent="0.3">
      <c r="A134" s="3" t="s">
        <v>584</v>
      </c>
      <c r="B134" s="3" t="s">
        <v>33</v>
      </c>
      <c r="C134" s="3">
        <v>1748</v>
      </c>
      <c r="D134" s="3">
        <v>176</v>
      </c>
      <c r="E134" s="3">
        <v>383681</v>
      </c>
      <c r="F134" s="3">
        <v>9.24</v>
      </c>
      <c r="G134" s="3">
        <v>43122</v>
      </c>
      <c r="H134" s="10">
        <f t="shared" si="4"/>
        <v>-6.8848861423943322E-2</v>
      </c>
      <c r="I134" s="10"/>
    </row>
    <row r="135" spans="1:9" ht="15.75" customHeight="1" x14ac:dyDescent="0.3">
      <c r="A135" s="3" t="s">
        <v>584</v>
      </c>
      <c r="B135" s="3" t="s">
        <v>43</v>
      </c>
      <c r="C135" s="3">
        <v>663</v>
      </c>
      <c r="D135" s="3">
        <v>236</v>
      </c>
      <c r="E135" s="3">
        <v>479490</v>
      </c>
      <c r="F135" s="3">
        <v>4.51</v>
      </c>
      <c r="G135" s="3">
        <v>23853</v>
      </c>
      <c r="H135" s="9">
        <f t="shared" si="4"/>
        <v>-0.32989843375252875</v>
      </c>
      <c r="I135" s="9"/>
    </row>
    <row r="136" spans="1:9" ht="15.75" customHeight="1" x14ac:dyDescent="0.3">
      <c r="A136" s="3" t="s">
        <v>584</v>
      </c>
      <c r="B136" s="3" t="s">
        <v>14</v>
      </c>
      <c r="C136" s="3">
        <v>1040</v>
      </c>
      <c r="D136" s="3">
        <v>149</v>
      </c>
      <c r="E136" s="3">
        <v>124404</v>
      </c>
      <c r="F136" s="3">
        <v>5.23</v>
      </c>
      <c r="G136" s="3">
        <v>45380</v>
      </c>
      <c r="H136" s="9">
        <f t="shared" si="4"/>
        <v>1.1106154142953604</v>
      </c>
      <c r="I136" s="9"/>
    </row>
    <row r="137" spans="1:9" ht="15.75" customHeight="1" x14ac:dyDescent="0.3">
      <c r="A137" s="3" t="s">
        <v>584</v>
      </c>
      <c r="B137" s="3" t="s">
        <v>27</v>
      </c>
      <c r="C137" s="3">
        <v>1166</v>
      </c>
      <c r="D137" s="3">
        <v>442</v>
      </c>
      <c r="E137" s="3">
        <v>336949</v>
      </c>
      <c r="F137" s="3">
        <v>4.68</v>
      </c>
      <c r="G137" s="3">
        <v>7705</v>
      </c>
      <c r="H137" s="9">
        <f t="shared" si="4"/>
        <v>0.37014503678598243</v>
      </c>
      <c r="I137" s="9"/>
    </row>
    <row r="138" spans="1:9" ht="15.75" customHeight="1" x14ac:dyDescent="0.3">
      <c r="A138" s="3" t="s">
        <v>224</v>
      </c>
      <c r="B138" s="3" t="s">
        <v>33</v>
      </c>
      <c r="C138" s="3">
        <v>115</v>
      </c>
      <c r="D138" s="3">
        <v>281</v>
      </c>
      <c r="E138" s="3">
        <v>357265</v>
      </c>
      <c r="F138" s="3">
        <v>9.23</v>
      </c>
      <c r="G138" s="3">
        <v>25525</v>
      </c>
      <c r="H138" s="10">
        <f t="shared" si="4"/>
        <v>-1.5979734930653716E-2</v>
      </c>
      <c r="I138" s="10"/>
    </row>
    <row r="139" spans="1:9" ht="15.75" customHeight="1" x14ac:dyDescent="0.3">
      <c r="A139" s="3" t="s">
        <v>224</v>
      </c>
      <c r="B139" s="3" t="s">
        <v>43</v>
      </c>
      <c r="C139" s="3">
        <v>1249</v>
      </c>
      <c r="D139" s="3">
        <v>351</v>
      </c>
      <c r="E139" s="3">
        <v>321307</v>
      </c>
      <c r="F139" s="3">
        <v>6.37</v>
      </c>
      <c r="G139" s="3">
        <v>20560</v>
      </c>
      <c r="H139" s="9">
        <f t="shared" si="4"/>
        <v>-0.57676925806160462</v>
      </c>
      <c r="I139" s="9"/>
    </row>
    <row r="140" spans="1:9" ht="15.75" customHeight="1" x14ac:dyDescent="0.3">
      <c r="A140" s="3" t="s">
        <v>224</v>
      </c>
      <c r="B140" s="3" t="s">
        <v>14</v>
      </c>
      <c r="C140" s="3">
        <v>1501</v>
      </c>
      <c r="D140" s="3">
        <v>75</v>
      </c>
      <c r="E140" s="3">
        <v>262569</v>
      </c>
      <c r="F140" s="3">
        <v>2.0099999999999998</v>
      </c>
      <c r="G140" s="3">
        <v>19119</v>
      </c>
      <c r="H140" s="9">
        <f t="shared" si="4"/>
        <v>-0.32378155837132333</v>
      </c>
      <c r="I140" s="9"/>
    </row>
    <row r="141" spans="1:9" ht="15.75" customHeight="1" x14ac:dyDescent="0.3">
      <c r="A141" s="3" t="s">
        <v>224</v>
      </c>
      <c r="B141" s="3" t="s">
        <v>27</v>
      </c>
      <c r="C141" s="3">
        <v>1411</v>
      </c>
      <c r="D141" s="3">
        <v>186</v>
      </c>
      <c r="E141" s="3">
        <v>461669</v>
      </c>
      <c r="F141" s="3">
        <v>3.72</v>
      </c>
      <c r="G141" s="3">
        <v>43999</v>
      </c>
      <c r="H141" s="9">
        <f t="shared" si="4"/>
        <v>-0.41350621332599763</v>
      </c>
      <c r="I141" s="9"/>
    </row>
    <row r="142" spans="1:9" ht="15.75" customHeight="1" x14ac:dyDescent="0.3">
      <c r="A142" s="3" t="s">
        <v>585</v>
      </c>
      <c r="B142" s="3" t="s">
        <v>33</v>
      </c>
      <c r="C142" s="3">
        <v>1556</v>
      </c>
      <c r="D142" s="3">
        <v>476</v>
      </c>
      <c r="E142" s="3">
        <v>351556</v>
      </c>
      <c r="F142" s="3">
        <v>3.89</v>
      </c>
      <c r="G142" s="3">
        <v>10825</v>
      </c>
      <c r="H142" s="10">
        <f t="shared" si="4"/>
        <v>-0.36816325137389205</v>
      </c>
      <c r="I142" s="10"/>
    </row>
    <row r="143" spans="1:9" ht="15.75" customHeight="1" x14ac:dyDescent="0.3">
      <c r="A143" s="3" t="s">
        <v>585</v>
      </c>
      <c r="B143" s="3" t="s">
        <v>43</v>
      </c>
      <c r="C143" s="3">
        <v>1159</v>
      </c>
      <c r="D143" s="3">
        <v>411</v>
      </c>
      <c r="E143" s="3">
        <v>135987</v>
      </c>
      <c r="F143" s="3">
        <v>8.6999999999999993</v>
      </c>
      <c r="G143" s="3">
        <v>40323</v>
      </c>
      <c r="H143" s="9">
        <f t="shared" si="4"/>
        <v>1.2789972570907513</v>
      </c>
      <c r="I143" s="9"/>
    </row>
    <row r="144" spans="1:9" ht="15.75" customHeight="1" x14ac:dyDescent="0.3">
      <c r="A144" s="3" t="s">
        <v>585</v>
      </c>
      <c r="B144" s="3" t="s">
        <v>14</v>
      </c>
      <c r="C144" s="3">
        <v>927</v>
      </c>
      <c r="D144" s="3">
        <v>358</v>
      </c>
      <c r="E144" s="3">
        <v>177554</v>
      </c>
      <c r="F144" s="3">
        <v>6.95</v>
      </c>
      <c r="G144" s="3">
        <v>48270</v>
      </c>
      <c r="H144" s="9">
        <f t="shared" si="4"/>
        <v>-0.28707886051567411</v>
      </c>
      <c r="I144" s="9"/>
    </row>
    <row r="145" spans="1:9" ht="15.75" customHeight="1" x14ac:dyDescent="0.3">
      <c r="A145" s="3" t="s">
        <v>585</v>
      </c>
      <c r="B145" s="3" t="s">
        <v>27</v>
      </c>
      <c r="C145" s="3">
        <v>152</v>
      </c>
      <c r="D145" s="3">
        <v>355</v>
      </c>
      <c r="E145" s="3">
        <v>270766</v>
      </c>
      <c r="F145" s="3">
        <v>9.48</v>
      </c>
      <c r="G145" s="3">
        <v>18001</v>
      </c>
      <c r="H145" s="9">
        <f t="shared" si="4"/>
        <v>0.79224865751239082</v>
      </c>
      <c r="I145" s="9"/>
    </row>
    <row r="146" spans="1:9" ht="15.75" customHeight="1" x14ac:dyDescent="0.3">
      <c r="A146" s="3" t="s">
        <v>249</v>
      </c>
      <c r="B146" s="3" t="s">
        <v>33</v>
      </c>
      <c r="C146" s="3">
        <v>1957</v>
      </c>
      <c r="D146" s="3">
        <v>234</v>
      </c>
      <c r="E146" s="3">
        <v>222126</v>
      </c>
      <c r="F146" s="3">
        <v>4.6100000000000003</v>
      </c>
      <c r="G146" s="3">
        <v>3314</v>
      </c>
      <c r="H146" s="10">
        <f t="shared" si="4"/>
        <v>1.0404770265524972</v>
      </c>
      <c r="I146" s="10"/>
    </row>
    <row r="147" spans="1:9" ht="15.75" customHeight="1" x14ac:dyDescent="0.3">
      <c r="A147" s="3" t="s">
        <v>249</v>
      </c>
      <c r="B147" s="3" t="s">
        <v>43</v>
      </c>
      <c r="C147" s="3">
        <v>1294</v>
      </c>
      <c r="D147" s="3">
        <v>382</v>
      </c>
      <c r="E147" s="3">
        <v>309914</v>
      </c>
      <c r="F147" s="3">
        <v>8.0299999999999994</v>
      </c>
      <c r="G147" s="3">
        <v>23489</v>
      </c>
      <c r="H147" s="9">
        <f t="shared" si="4"/>
        <v>-0.66130281303845584</v>
      </c>
      <c r="I147" s="9"/>
    </row>
    <row r="148" spans="1:9" ht="15.75" customHeight="1" x14ac:dyDescent="0.3">
      <c r="A148" s="3" t="s">
        <v>249</v>
      </c>
      <c r="B148" s="3" t="s">
        <v>14</v>
      </c>
      <c r="C148" s="3">
        <v>1587</v>
      </c>
      <c r="D148" s="3">
        <v>385</v>
      </c>
      <c r="E148" s="3">
        <v>126582</v>
      </c>
      <c r="F148" s="3">
        <v>6.99</v>
      </c>
      <c r="G148" s="3">
        <v>42832</v>
      </c>
      <c r="H148" s="9">
        <f t="shared" si="4"/>
        <v>0.15030573067260747</v>
      </c>
      <c r="I148" s="9"/>
    </row>
    <row r="149" spans="1:9" ht="15.75" customHeight="1" x14ac:dyDescent="0.3">
      <c r="A149" s="3" t="s">
        <v>249</v>
      </c>
      <c r="B149" s="3" t="s">
        <v>27</v>
      </c>
      <c r="C149" s="3">
        <v>1707</v>
      </c>
      <c r="D149" s="3">
        <v>263</v>
      </c>
      <c r="E149" s="3">
        <v>485280</v>
      </c>
      <c r="F149" s="3">
        <v>9.0299999999999994</v>
      </c>
      <c r="G149" s="3">
        <v>24494</v>
      </c>
      <c r="H149" s="9">
        <f t="shared" si="4"/>
        <v>-0.7816106165512694</v>
      </c>
      <c r="I149" s="9"/>
    </row>
    <row r="150" spans="1:9" ht="15.75" customHeight="1" x14ac:dyDescent="0.3">
      <c r="A150" s="3" t="s">
        <v>127</v>
      </c>
      <c r="B150" s="3" t="s">
        <v>33</v>
      </c>
      <c r="C150" s="3">
        <v>1138</v>
      </c>
      <c r="D150" s="3">
        <v>173</v>
      </c>
      <c r="E150" s="3">
        <v>453243</v>
      </c>
      <c r="F150" s="3">
        <v>2.86</v>
      </c>
      <c r="G150" s="3">
        <v>44097</v>
      </c>
      <c r="H150" s="10">
        <f t="shared" si="4"/>
        <v>-0.72084731589897688</v>
      </c>
      <c r="I150" s="10"/>
    </row>
    <row r="151" spans="1:9" ht="15.75" customHeight="1" x14ac:dyDescent="0.3">
      <c r="A151" s="3" t="s">
        <v>127</v>
      </c>
      <c r="B151" s="3" t="s">
        <v>43</v>
      </c>
      <c r="C151" s="3">
        <v>1895</v>
      </c>
      <c r="D151" s="3">
        <v>305</v>
      </c>
      <c r="E151" s="3">
        <v>104967</v>
      </c>
      <c r="F151" s="3">
        <v>3.85</v>
      </c>
      <c r="G151" s="3">
        <v>31853</v>
      </c>
      <c r="H151" s="9">
        <f t="shared" si="4"/>
        <v>1.1954328503243876</v>
      </c>
      <c r="I151" s="9"/>
    </row>
    <row r="152" spans="1:9" ht="15.75" customHeight="1" x14ac:dyDescent="0.3">
      <c r="A152" s="3" t="s">
        <v>127</v>
      </c>
      <c r="B152" s="3" t="s">
        <v>14</v>
      </c>
      <c r="C152" s="3">
        <v>362</v>
      </c>
      <c r="D152" s="3">
        <v>399</v>
      </c>
      <c r="E152" s="3">
        <v>145608</v>
      </c>
      <c r="F152" s="3">
        <v>7.3</v>
      </c>
      <c r="G152" s="3">
        <v>37636</v>
      </c>
      <c r="H152" s="9">
        <f t="shared" si="4"/>
        <v>1.177126256799077</v>
      </c>
      <c r="I152" s="9"/>
    </row>
    <row r="153" spans="1:9" ht="15.75" customHeight="1" x14ac:dyDescent="0.3">
      <c r="A153" s="3" t="s">
        <v>127</v>
      </c>
      <c r="B153" s="3" t="s">
        <v>27</v>
      </c>
      <c r="C153" s="3">
        <v>1662</v>
      </c>
      <c r="D153" s="3">
        <v>487</v>
      </c>
      <c r="E153" s="3">
        <v>105980</v>
      </c>
      <c r="F153" s="3">
        <v>9.08</v>
      </c>
      <c r="G153" s="3">
        <v>22996</v>
      </c>
      <c r="H153" s="9">
        <f t="shared" si="4"/>
        <v>3.380439705604831</v>
      </c>
      <c r="I153" s="9"/>
    </row>
    <row r="154" spans="1:9" ht="15.75" customHeight="1" x14ac:dyDescent="0.3">
      <c r="A154" s="3" t="s">
        <v>147</v>
      </c>
      <c r="B154" s="3" t="s">
        <v>33</v>
      </c>
      <c r="C154" s="3">
        <v>1440</v>
      </c>
      <c r="D154" s="3">
        <v>65</v>
      </c>
      <c r="E154" s="3">
        <v>126524</v>
      </c>
      <c r="F154" s="3">
        <v>4.34</v>
      </c>
      <c r="G154" s="3">
        <v>49772</v>
      </c>
      <c r="H154" s="10">
        <f t="shared" si="4"/>
        <v>1.0358113875628339</v>
      </c>
      <c r="I154" s="10"/>
    </row>
    <row r="155" spans="1:9" ht="15.75" customHeight="1" x14ac:dyDescent="0.3">
      <c r="A155" s="3" t="s">
        <v>147</v>
      </c>
      <c r="B155" s="3" t="s">
        <v>43</v>
      </c>
      <c r="C155" s="3">
        <v>1884</v>
      </c>
      <c r="D155" s="3">
        <v>177</v>
      </c>
      <c r="E155" s="3">
        <v>230448</v>
      </c>
      <c r="F155" s="3">
        <v>7.8</v>
      </c>
      <c r="G155" s="3">
        <v>22713</v>
      </c>
      <c r="H155" s="9">
        <f t="shared" si="4"/>
        <v>0.59203377768520449</v>
      </c>
      <c r="I155" s="9"/>
    </row>
    <row r="156" spans="1:9" ht="15.75" customHeight="1" x14ac:dyDescent="0.3">
      <c r="A156" s="3" t="s">
        <v>147</v>
      </c>
      <c r="B156" s="3" t="s">
        <v>14</v>
      </c>
      <c r="C156" s="3">
        <v>861</v>
      </c>
      <c r="D156" s="3">
        <v>153</v>
      </c>
      <c r="E156" s="3">
        <v>317007</v>
      </c>
      <c r="F156" s="3">
        <v>3.85</v>
      </c>
      <c r="G156" s="3">
        <v>8718</v>
      </c>
      <c r="H156" s="9">
        <f t="shared" si="4"/>
        <v>0.47181292526663449</v>
      </c>
      <c r="I156" s="9"/>
    </row>
    <row r="157" spans="1:9" ht="15.75" customHeight="1" x14ac:dyDescent="0.3">
      <c r="A157" s="3" t="s">
        <v>147</v>
      </c>
      <c r="B157" s="3" t="s">
        <v>27</v>
      </c>
      <c r="C157" s="3">
        <v>1063</v>
      </c>
      <c r="D157" s="3">
        <v>47</v>
      </c>
      <c r="E157" s="3">
        <v>464239</v>
      </c>
      <c r="F157" s="3">
        <v>6.58</v>
      </c>
      <c r="G157" s="3">
        <v>39031</v>
      </c>
      <c r="H157" s="9">
        <f t="shared" si="4"/>
        <v>-0.51633964401956756</v>
      </c>
      <c r="I157" s="9"/>
    </row>
    <row r="158" spans="1:9" ht="15.75" customHeight="1" x14ac:dyDescent="0.3">
      <c r="A158" s="3" t="s">
        <v>197</v>
      </c>
      <c r="B158" s="3" t="s">
        <v>33</v>
      </c>
      <c r="C158" s="3">
        <v>1371</v>
      </c>
      <c r="D158" s="3">
        <v>56</v>
      </c>
      <c r="E158" s="3">
        <v>257579</v>
      </c>
      <c r="F158" s="3">
        <v>8.6199999999999992</v>
      </c>
      <c r="G158" s="3">
        <v>33799</v>
      </c>
      <c r="H158" s="10">
        <f t="shared" si="4"/>
        <v>0.79417576743445695</v>
      </c>
      <c r="I158" s="10"/>
    </row>
    <row r="159" spans="1:9" ht="15.75" customHeight="1" x14ac:dyDescent="0.3">
      <c r="A159" s="3" t="s">
        <v>197</v>
      </c>
      <c r="B159" s="3" t="s">
        <v>43</v>
      </c>
      <c r="C159" s="3">
        <v>345</v>
      </c>
      <c r="D159" s="3">
        <v>464</v>
      </c>
      <c r="E159" s="3">
        <v>366881</v>
      </c>
      <c r="F159" s="3">
        <v>4.55</v>
      </c>
      <c r="G159" s="3">
        <v>20553</v>
      </c>
      <c r="H159" s="9">
        <f t="shared" si="4"/>
        <v>-7.0973967035632801E-2</v>
      </c>
      <c r="I159" s="9"/>
    </row>
    <row r="160" spans="1:9" ht="15.75" customHeight="1" x14ac:dyDescent="0.3">
      <c r="A160" s="3" t="s">
        <v>197</v>
      </c>
      <c r="B160" s="3" t="s">
        <v>14</v>
      </c>
      <c r="C160" s="3">
        <v>946</v>
      </c>
      <c r="D160" s="3">
        <v>47</v>
      </c>
      <c r="E160" s="3">
        <v>466575</v>
      </c>
      <c r="F160" s="3">
        <v>8.33</v>
      </c>
      <c r="G160" s="3">
        <v>10002</v>
      </c>
      <c r="H160" s="9">
        <f t="shared" si="4"/>
        <v>-0.97327117826715959</v>
      </c>
      <c r="I160" s="9"/>
    </row>
    <row r="161" spans="1:9" ht="15.75" customHeight="1" x14ac:dyDescent="0.3">
      <c r="A161" s="3" t="s">
        <v>197</v>
      </c>
      <c r="B161" s="3" t="s">
        <v>27</v>
      </c>
      <c r="C161" s="3">
        <v>510</v>
      </c>
      <c r="D161" s="3">
        <v>195</v>
      </c>
      <c r="E161" s="3">
        <v>224534</v>
      </c>
      <c r="F161" s="3">
        <v>9.4</v>
      </c>
      <c r="G161" s="3">
        <v>30987</v>
      </c>
      <c r="H161" s="9">
        <f t="shared" si="4"/>
        <v>-0.56177238191098011</v>
      </c>
      <c r="I161" s="9"/>
    </row>
    <row r="162" spans="1:9" ht="15.75" customHeight="1" x14ac:dyDescent="0.3">
      <c r="A162" s="3" t="s">
        <v>586</v>
      </c>
      <c r="B162" s="3" t="s">
        <v>33</v>
      </c>
      <c r="C162" s="3">
        <v>393</v>
      </c>
      <c r="D162" s="3">
        <v>181</v>
      </c>
      <c r="E162" s="3">
        <v>462142</v>
      </c>
      <c r="F162" s="3">
        <v>7.23</v>
      </c>
      <c r="G162" s="3">
        <v>6296</v>
      </c>
      <c r="H162" s="10">
        <f t="shared" ref="H162:H193" si="5">(E166-E162)/E162</f>
        <v>-0.11211272725699027</v>
      </c>
      <c r="I162" s="10"/>
    </row>
    <row r="163" spans="1:9" ht="15.75" customHeight="1" x14ac:dyDescent="0.3">
      <c r="A163" s="3" t="s">
        <v>586</v>
      </c>
      <c r="B163" s="3" t="s">
        <v>43</v>
      </c>
      <c r="C163" s="3">
        <v>1098</v>
      </c>
      <c r="D163" s="3">
        <v>190</v>
      </c>
      <c r="E163" s="3">
        <v>340842</v>
      </c>
      <c r="F163" s="3">
        <v>9.39</v>
      </c>
      <c r="G163" s="3">
        <v>21539</v>
      </c>
      <c r="H163" s="9">
        <f t="shared" si="5"/>
        <v>3.7759431056031828E-3</v>
      </c>
      <c r="I163" s="9"/>
    </row>
    <row r="164" spans="1:9" ht="15.75" customHeight="1" x14ac:dyDescent="0.3">
      <c r="A164" s="3" t="s">
        <v>586</v>
      </c>
      <c r="B164" s="3" t="s">
        <v>14</v>
      </c>
      <c r="C164" s="3">
        <v>1399</v>
      </c>
      <c r="D164" s="3">
        <v>49</v>
      </c>
      <c r="E164" s="3">
        <v>12471</v>
      </c>
      <c r="F164" s="3">
        <v>5.12</v>
      </c>
      <c r="G164" s="3">
        <v>14722</v>
      </c>
      <c r="H164" s="9">
        <f t="shared" si="5"/>
        <v>-1.9244647582391148E-3</v>
      </c>
      <c r="I164" s="9"/>
    </row>
    <row r="165" spans="1:9" ht="15.75" customHeight="1" x14ac:dyDescent="0.3">
      <c r="A165" s="3" t="s">
        <v>586</v>
      </c>
      <c r="B165" s="3" t="s">
        <v>27</v>
      </c>
      <c r="C165" s="3">
        <v>1658</v>
      </c>
      <c r="D165" s="3">
        <v>416</v>
      </c>
      <c r="E165" s="3">
        <v>98397</v>
      </c>
      <c r="F165" s="3">
        <v>6.11</v>
      </c>
      <c r="G165" s="3">
        <v>11383</v>
      </c>
      <c r="H165" s="9">
        <f t="shared" si="5"/>
        <v>-0.82336859863613732</v>
      </c>
      <c r="I165" s="9"/>
    </row>
    <row r="166" spans="1:9" ht="15.75" customHeight="1" x14ac:dyDescent="0.3">
      <c r="A166" s="3" t="s">
        <v>587</v>
      </c>
      <c r="B166" s="3" t="s">
        <v>33</v>
      </c>
      <c r="C166" s="3">
        <v>1102</v>
      </c>
      <c r="D166" s="3">
        <v>422</v>
      </c>
      <c r="E166" s="3">
        <v>410330</v>
      </c>
      <c r="F166" s="3">
        <v>7.74</v>
      </c>
      <c r="G166" s="3">
        <v>9480</v>
      </c>
      <c r="H166" s="10">
        <f t="shared" si="5"/>
        <v>-0.11093510101625521</v>
      </c>
      <c r="I166" s="10"/>
    </row>
    <row r="167" spans="1:9" ht="15.75" customHeight="1" x14ac:dyDescent="0.3">
      <c r="A167" s="3" t="s">
        <v>587</v>
      </c>
      <c r="B167" s="3" t="s">
        <v>43</v>
      </c>
      <c r="C167" s="3">
        <v>1358</v>
      </c>
      <c r="D167" s="3">
        <v>242</v>
      </c>
      <c r="E167" s="3">
        <v>342129</v>
      </c>
      <c r="F167" s="3">
        <v>4.9400000000000004</v>
      </c>
      <c r="G167" s="3">
        <v>29116</v>
      </c>
      <c r="H167" s="9">
        <f t="shared" si="5"/>
        <v>9.2003308693504496E-2</v>
      </c>
      <c r="I167" s="9"/>
    </row>
    <row r="168" spans="1:9" ht="15.75" customHeight="1" x14ac:dyDescent="0.3">
      <c r="A168" s="3" t="s">
        <v>587</v>
      </c>
      <c r="B168" s="3" t="s">
        <v>14</v>
      </c>
      <c r="C168" s="3">
        <v>1077</v>
      </c>
      <c r="D168" s="3">
        <v>216</v>
      </c>
      <c r="E168" s="3">
        <v>12447</v>
      </c>
      <c r="F168" s="3">
        <v>1.8</v>
      </c>
      <c r="G168" s="3">
        <v>14068</v>
      </c>
      <c r="H168" s="9">
        <f t="shared" si="5"/>
        <v>15.959106612035029</v>
      </c>
      <c r="I168" s="9"/>
    </row>
    <row r="169" spans="1:9" ht="15.75" customHeight="1" x14ac:dyDescent="0.3">
      <c r="A169" s="3" t="s">
        <v>587</v>
      </c>
      <c r="B169" s="3" t="s">
        <v>27</v>
      </c>
      <c r="C169" s="3">
        <v>1596</v>
      </c>
      <c r="D169" s="3">
        <v>211</v>
      </c>
      <c r="E169" s="3">
        <v>17380</v>
      </c>
      <c r="F169" s="3">
        <v>8.64</v>
      </c>
      <c r="G169" s="3">
        <v>35801</v>
      </c>
      <c r="H169" s="9">
        <f t="shared" si="5"/>
        <v>24.427560414269276</v>
      </c>
      <c r="I169" s="9"/>
    </row>
    <row r="170" spans="1:9" ht="15.75" customHeight="1" x14ac:dyDescent="0.3">
      <c r="A170" s="3" t="s">
        <v>234</v>
      </c>
      <c r="B170" s="3" t="s">
        <v>33</v>
      </c>
      <c r="C170" s="3">
        <v>490</v>
      </c>
      <c r="D170" s="3">
        <v>29</v>
      </c>
      <c r="E170" s="3">
        <v>364810</v>
      </c>
      <c r="F170" s="3">
        <v>1.53</v>
      </c>
      <c r="G170" s="3">
        <v>49077</v>
      </c>
      <c r="H170" s="10">
        <f t="shared" si="5"/>
        <v>-0.22485677475946383</v>
      </c>
      <c r="I170" s="10"/>
    </row>
    <row r="171" spans="1:9" ht="15.75" customHeight="1" x14ac:dyDescent="0.3">
      <c r="A171" s="3" t="s">
        <v>234</v>
      </c>
      <c r="B171" s="3" t="s">
        <v>43</v>
      </c>
      <c r="C171" s="3">
        <v>609</v>
      </c>
      <c r="D171" s="3">
        <v>135</v>
      </c>
      <c r="E171" s="3">
        <v>373606</v>
      </c>
      <c r="F171" s="3">
        <v>8.52</v>
      </c>
      <c r="G171" s="3">
        <v>21453</v>
      </c>
      <c r="H171" s="9">
        <f t="shared" si="5"/>
        <v>-9.4645160944952702E-3</v>
      </c>
      <c r="I171" s="9"/>
    </row>
    <row r="172" spans="1:9" ht="15.75" customHeight="1" x14ac:dyDescent="0.3">
      <c r="A172" s="3" t="s">
        <v>234</v>
      </c>
      <c r="B172" s="3" t="s">
        <v>14</v>
      </c>
      <c r="C172" s="3">
        <v>364</v>
      </c>
      <c r="D172" s="3">
        <v>72</v>
      </c>
      <c r="E172" s="3">
        <v>211090</v>
      </c>
      <c r="F172" s="3">
        <v>5.53</v>
      </c>
      <c r="G172" s="3">
        <v>21061</v>
      </c>
      <c r="H172" s="9">
        <f t="shared" si="5"/>
        <v>-6.0353403761428774E-2</v>
      </c>
      <c r="I172" s="9"/>
    </row>
    <row r="173" spans="1:9" ht="15.75" customHeight="1" x14ac:dyDescent="0.3">
      <c r="A173" s="3" t="s">
        <v>234</v>
      </c>
      <c r="B173" s="3" t="s">
        <v>27</v>
      </c>
      <c r="C173" s="3">
        <v>442</v>
      </c>
      <c r="D173" s="3">
        <v>53</v>
      </c>
      <c r="E173" s="3">
        <v>441931</v>
      </c>
      <c r="F173" s="3">
        <v>1.87</v>
      </c>
      <c r="G173" s="3">
        <v>20059</v>
      </c>
      <c r="H173" s="9">
        <f t="shared" si="5"/>
        <v>-1.4040653405169586E-2</v>
      </c>
      <c r="I173" s="9"/>
    </row>
    <row r="174" spans="1:9" ht="15.75" customHeight="1" x14ac:dyDescent="0.3">
      <c r="A174" s="3" t="s">
        <v>588</v>
      </c>
      <c r="B174" s="3" t="s">
        <v>33</v>
      </c>
      <c r="C174" s="3">
        <v>1033</v>
      </c>
      <c r="D174" s="3">
        <v>392</v>
      </c>
      <c r="E174" s="3">
        <v>282780</v>
      </c>
      <c r="F174" s="3">
        <v>6.27</v>
      </c>
      <c r="G174" s="3">
        <v>23140</v>
      </c>
      <c r="H174" s="10">
        <f t="shared" si="5"/>
        <v>-0.72137704222363674</v>
      </c>
      <c r="I174" s="10"/>
    </row>
    <row r="175" spans="1:9" ht="15.75" customHeight="1" x14ac:dyDescent="0.3">
      <c r="A175" s="3" t="s">
        <v>588</v>
      </c>
      <c r="B175" s="3" t="s">
        <v>43</v>
      </c>
      <c r="C175" s="3">
        <v>988</v>
      </c>
      <c r="D175" s="3">
        <v>474</v>
      </c>
      <c r="E175" s="3">
        <v>370070</v>
      </c>
      <c r="F175" s="3">
        <v>9.4600000000000009</v>
      </c>
      <c r="G175" s="3">
        <v>23461</v>
      </c>
      <c r="H175" s="9">
        <f t="shared" si="5"/>
        <v>-0.73357472910530441</v>
      </c>
      <c r="I175" s="9"/>
    </row>
    <row r="176" spans="1:9" ht="15.75" customHeight="1" x14ac:dyDescent="0.3">
      <c r="A176" s="3" t="s">
        <v>588</v>
      </c>
      <c r="B176" s="3" t="s">
        <v>14</v>
      </c>
      <c r="C176" s="3">
        <v>1946</v>
      </c>
      <c r="D176" s="3">
        <v>270</v>
      </c>
      <c r="E176" s="3">
        <v>198350</v>
      </c>
      <c r="F176" s="3">
        <v>7.5</v>
      </c>
      <c r="G176" s="3">
        <v>11805</v>
      </c>
      <c r="H176" s="9">
        <f t="shared" si="5"/>
        <v>-0.8508243004789513</v>
      </c>
      <c r="I176" s="9"/>
    </row>
    <row r="177" spans="1:9" ht="15.75" customHeight="1" x14ac:dyDescent="0.3">
      <c r="A177" s="3" t="s">
        <v>588</v>
      </c>
      <c r="B177" s="3" t="s">
        <v>27</v>
      </c>
      <c r="C177" s="3">
        <v>1957</v>
      </c>
      <c r="D177" s="3">
        <v>490</v>
      </c>
      <c r="E177" s="3">
        <v>435726</v>
      </c>
      <c r="F177" s="3">
        <v>4.7300000000000004</v>
      </c>
      <c r="G177" s="3">
        <v>15969</v>
      </c>
      <c r="H177" s="9">
        <f t="shared" si="5"/>
        <v>-0.33363168596778708</v>
      </c>
      <c r="I177" s="9"/>
    </row>
    <row r="178" spans="1:9" ht="15.75" customHeight="1" x14ac:dyDescent="0.3">
      <c r="A178" s="3" t="s">
        <v>412</v>
      </c>
      <c r="B178" s="3" t="s">
        <v>33</v>
      </c>
      <c r="C178" s="3">
        <v>559</v>
      </c>
      <c r="D178" s="3">
        <v>392</v>
      </c>
      <c r="E178" s="3">
        <v>78789</v>
      </c>
      <c r="F178" s="3">
        <v>3.19</v>
      </c>
      <c r="G178" s="3">
        <v>2436</v>
      </c>
      <c r="H178" s="10">
        <f t="shared" si="5"/>
        <v>-0.15366358247978779</v>
      </c>
      <c r="I178" s="10"/>
    </row>
    <row r="179" spans="1:9" ht="15.75" customHeight="1" x14ac:dyDescent="0.3">
      <c r="A179" s="3" t="s">
        <v>412</v>
      </c>
      <c r="B179" s="3" t="s">
        <v>43</v>
      </c>
      <c r="C179" s="3">
        <v>1307</v>
      </c>
      <c r="D179" s="3">
        <v>278</v>
      </c>
      <c r="E179" s="3">
        <v>98596</v>
      </c>
      <c r="F179" s="3">
        <v>2.4900000000000002</v>
      </c>
      <c r="G179" s="3">
        <v>47603</v>
      </c>
      <c r="H179" s="9">
        <f t="shared" si="5"/>
        <v>-0.28286137368655928</v>
      </c>
      <c r="I179" s="9"/>
    </row>
    <row r="180" spans="1:9" ht="15.75" customHeight="1" x14ac:dyDescent="0.3">
      <c r="A180" s="3" t="s">
        <v>412</v>
      </c>
      <c r="B180" s="3" t="s">
        <v>14</v>
      </c>
      <c r="C180" s="3">
        <v>1432</v>
      </c>
      <c r="D180" s="3">
        <v>425</v>
      </c>
      <c r="E180" s="3">
        <v>29589</v>
      </c>
      <c r="F180" s="3">
        <v>4.5</v>
      </c>
      <c r="G180" s="3">
        <v>42964</v>
      </c>
      <c r="H180" s="9">
        <f t="shared" si="5"/>
        <v>3.8162154854844705</v>
      </c>
      <c r="I180" s="9"/>
    </row>
    <row r="181" spans="1:9" ht="15.75" customHeight="1" x14ac:dyDescent="0.3">
      <c r="A181" s="3" t="s">
        <v>412</v>
      </c>
      <c r="B181" s="3" t="s">
        <v>27</v>
      </c>
      <c r="C181" s="3">
        <v>623</v>
      </c>
      <c r="D181" s="3">
        <v>414</v>
      </c>
      <c r="E181" s="3">
        <v>290354</v>
      </c>
      <c r="F181" s="3">
        <v>6.49</v>
      </c>
      <c r="G181" s="3">
        <v>39923</v>
      </c>
      <c r="H181" s="9">
        <f t="shared" si="5"/>
        <v>0.27267060209261795</v>
      </c>
      <c r="I181" s="9"/>
    </row>
    <row r="182" spans="1:9" ht="15.75" customHeight="1" x14ac:dyDescent="0.3">
      <c r="A182" s="3" t="s">
        <v>589</v>
      </c>
      <c r="B182" s="3" t="s">
        <v>33</v>
      </c>
      <c r="C182" s="3">
        <v>198</v>
      </c>
      <c r="D182" s="3">
        <v>358</v>
      </c>
      <c r="E182" s="3">
        <v>66682</v>
      </c>
      <c r="F182" s="3">
        <v>6.73</v>
      </c>
      <c r="G182" s="3">
        <v>2293</v>
      </c>
      <c r="H182" s="10">
        <f t="shared" si="5"/>
        <v>-5.6087099967007586E-2</v>
      </c>
      <c r="I182" s="10"/>
    </row>
    <row r="183" spans="1:9" ht="15.75" customHeight="1" x14ac:dyDescent="0.3">
      <c r="A183" s="3" t="s">
        <v>589</v>
      </c>
      <c r="B183" s="3" t="s">
        <v>43</v>
      </c>
      <c r="C183" s="3">
        <v>198</v>
      </c>
      <c r="D183" s="3">
        <v>373</v>
      </c>
      <c r="E183" s="3">
        <v>70707</v>
      </c>
      <c r="F183" s="3">
        <v>4.83</v>
      </c>
      <c r="G183" s="3">
        <v>25920</v>
      </c>
      <c r="H183" s="9">
        <f t="shared" si="5"/>
        <v>4.3372650515507658</v>
      </c>
      <c r="I183" s="9"/>
    </row>
    <row r="184" spans="1:9" ht="15.75" customHeight="1" x14ac:dyDescent="0.3">
      <c r="A184" s="3" t="s">
        <v>589</v>
      </c>
      <c r="B184" s="3" t="s">
        <v>14</v>
      </c>
      <c r="C184" s="3">
        <v>353</v>
      </c>
      <c r="D184" s="3">
        <v>300</v>
      </c>
      <c r="E184" s="3">
        <v>142507</v>
      </c>
      <c r="F184" s="3">
        <v>5.3</v>
      </c>
      <c r="G184" s="3">
        <v>11035</v>
      </c>
      <c r="H184" s="9">
        <f t="shared" si="5"/>
        <v>1.3426989551390458</v>
      </c>
      <c r="I184" s="9"/>
    </row>
    <row r="185" spans="1:9" ht="15.75" customHeight="1" x14ac:dyDescent="0.3">
      <c r="A185" s="3" t="s">
        <v>589</v>
      </c>
      <c r="B185" s="3" t="s">
        <v>27</v>
      </c>
      <c r="C185" s="3">
        <v>520</v>
      </c>
      <c r="D185" s="3">
        <v>375</v>
      </c>
      <c r="E185" s="3">
        <v>369525</v>
      </c>
      <c r="F185" s="3">
        <v>6.54</v>
      </c>
      <c r="G185" s="3">
        <v>20733</v>
      </c>
      <c r="H185" s="9">
        <f t="shared" si="5"/>
        <v>-0.26673973344158042</v>
      </c>
      <c r="I185" s="9"/>
    </row>
    <row r="186" spans="1:9" ht="15.75" customHeight="1" x14ac:dyDescent="0.3">
      <c r="A186" s="3" t="s">
        <v>590</v>
      </c>
      <c r="B186" s="3" t="s">
        <v>33</v>
      </c>
      <c r="C186" s="3">
        <v>961</v>
      </c>
      <c r="D186" s="3">
        <v>358</v>
      </c>
      <c r="E186" s="3">
        <v>62942</v>
      </c>
      <c r="F186" s="3">
        <v>6.8</v>
      </c>
      <c r="G186" s="3">
        <v>18693</v>
      </c>
      <c r="H186" s="10">
        <f t="shared" si="5"/>
        <v>6.0849988878650185</v>
      </c>
      <c r="I186" s="10"/>
    </row>
    <row r="187" spans="1:9" ht="15.75" customHeight="1" x14ac:dyDescent="0.3">
      <c r="A187" s="3" t="s">
        <v>590</v>
      </c>
      <c r="B187" s="3" t="s">
        <v>43</v>
      </c>
      <c r="C187" s="3">
        <v>1375</v>
      </c>
      <c r="D187" s="3">
        <v>330</v>
      </c>
      <c r="E187" s="3">
        <v>377382</v>
      </c>
      <c r="F187" s="3">
        <v>2.6</v>
      </c>
      <c r="G187" s="3">
        <v>7875</v>
      </c>
      <c r="H187" s="9">
        <f t="shared" si="5"/>
        <v>-0.40423761599652341</v>
      </c>
      <c r="I187" s="9"/>
    </row>
    <row r="188" spans="1:9" ht="15.75" customHeight="1" x14ac:dyDescent="0.3">
      <c r="A188" s="3" t="s">
        <v>590</v>
      </c>
      <c r="B188" s="3" t="s">
        <v>14</v>
      </c>
      <c r="C188" s="3">
        <v>1147</v>
      </c>
      <c r="D188" s="3">
        <v>388</v>
      </c>
      <c r="E188" s="3">
        <v>333851</v>
      </c>
      <c r="F188" s="3">
        <v>2.44</v>
      </c>
      <c r="G188" s="3">
        <v>8471</v>
      </c>
      <c r="H188" s="9">
        <f t="shared" si="5"/>
        <v>0.45960024082599721</v>
      </c>
      <c r="I188" s="9"/>
    </row>
    <row r="189" spans="1:9" ht="15.75" customHeight="1" x14ac:dyDescent="0.3">
      <c r="A189" s="3" t="s">
        <v>590</v>
      </c>
      <c r="B189" s="3" t="s">
        <v>27</v>
      </c>
      <c r="C189" s="3">
        <v>1707</v>
      </c>
      <c r="D189" s="3">
        <v>74</v>
      </c>
      <c r="E189" s="3">
        <v>270958</v>
      </c>
      <c r="F189" s="3">
        <v>3.09</v>
      </c>
      <c r="G189" s="3">
        <v>14090</v>
      </c>
      <c r="H189" s="9">
        <f t="shared" si="5"/>
        <v>-0.95779788749547901</v>
      </c>
      <c r="I189" s="9"/>
    </row>
    <row r="190" spans="1:9" ht="15.75" customHeight="1" x14ac:dyDescent="0.3">
      <c r="A190" s="3" t="s">
        <v>364</v>
      </c>
      <c r="B190" s="3" t="s">
        <v>33</v>
      </c>
      <c r="C190" s="3">
        <v>1693</v>
      </c>
      <c r="D190" s="3">
        <v>154</v>
      </c>
      <c r="E190" s="3">
        <v>445944</v>
      </c>
      <c r="F190" s="3">
        <v>5.69</v>
      </c>
      <c r="G190" s="3">
        <v>14216</v>
      </c>
      <c r="H190" s="10">
        <f t="shared" si="5"/>
        <v>4.3906858260229983E-3</v>
      </c>
      <c r="I190" s="10"/>
    </row>
    <row r="191" spans="1:9" ht="15.75" customHeight="1" x14ac:dyDescent="0.3">
      <c r="A191" s="3" t="s">
        <v>364</v>
      </c>
      <c r="B191" s="3" t="s">
        <v>43</v>
      </c>
      <c r="C191" s="3">
        <v>833</v>
      </c>
      <c r="D191" s="3">
        <v>380</v>
      </c>
      <c r="E191" s="3">
        <v>224830</v>
      </c>
      <c r="F191" s="3">
        <v>3.86</v>
      </c>
      <c r="G191" s="3">
        <v>3582</v>
      </c>
      <c r="H191" s="9">
        <f t="shared" si="5"/>
        <v>0.86227816572521465</v>
      </c>
      <c r="I191" s="9"/>
    </row>
    <row r="192" spans="1:9" ht="15.75" customHeight="1" x14ac:dyDescent="0.3">
      <c r="A192" s="3" t="s">
        <v>364</v>
      </c>
      <c r="B192" s="3" t="s">
        <v>14</v>
      </c>
      <c r="C192" s="3">
        <v>1222</v>
      </c>
      <c r="D192" s="3">
        <v>274</v>
      </c>
      <c r="E192" s="3">
        <v>487289</v>
      </c>
      <c r="F192" s="3">
        <v>3.16</v>
      </c>
      <c r="G192" s="3">
        <v>32500</v>
      </c>
      <c r="H192" s="9">
        <f t="shared" si="5"/>
        <v>-6.0025980475652023E-3</v>
      </c>
      <c r="I192" s="9"/>
    </row>
    <row r="193" spans="1:9" ht="15.75" customHeight="1" x14ac:dyDescent="0.3">
      <c r="A193" s="3" t="s">
        <v>364</v>
      </c>
      <c r="B193" s="3" t="s">
        <v>27</v>
      </c>
      <c r="C193" s="3">
        <v>777</v>
      </c>
      <c r="D193" s="3">
        <v>140</v>
      </c>
      <c r="E193" s="3">
        <v>11435</v>
      </c>
      <c r="F193" s="3">
        <v>1.6</v>
      </c>
      <c r="G193" s="3">
        <v>6832</v>
      </c>
      <c r="H193" s="9">
        <f t="shared" si="5"/>
        <v>11.984433756012242</v>
      </c>
      <c r="I193" s="9"/>
    </row>
    <row r="194" spans="1:9" ht="15.75" customHeight="1" x14ac:dyDescent="0.3">
      <c r="A194" s="3" t="s">
        <v>79</v>
      </c>
      <c r="B194" s="3" t="s">
        <v>33</v>
      </c>
      <c r="C194" s="3">
        <v>1957</v>
      </c>
      <c r="D194" s="3">
        <v>76</v>
      </c>
      <c r="E194" s="3">
        <v>447902</v>
      </c>
      <c r="F194" s="3">
        <v>6.09</v>
      </c>
      <c r="G194" s="3">
        <v>33381</v>
      </c>
      <c r="H194" s="10">
        <f t="shared" ref="H194:H201" si="6">(E198-E194)/E194</f>
        <v>4.554344477140089E-2</v>
      </c>
      <c r="I194" s="10"/>
    </row>
    <row r="195" spans="1:9" ht="15.75" customHeight="1" x14ac:dyDescent="0.3">
      <c r="A195" s="3" t="s">
        <v>79</v>
      </c>
      <c r="B195" s="3" t="s">
        <v>43</v>
      </c>
      <c r="C195" s="3">
        <v>405</v>
      </c>
      <c r="D195" s="3">
        <v>66</v>
      </c>
      <c r="E195" s="3">
        <v>418696</v>
      </c>
      <c r="F195" s="3">
        <v>5.59</v>
      </c>
      <c r="G195" s="3">
        <v>48419</v>
      </c>
      <c r="H195" s="9">
        <f t="shared" si="6"/>
        <v>-0.12867569788104019</v>
      </c>
      <c r="I195" s="9"/>
    </row>
    <row r="196" spans="1:9" ht="15.75" customHeight="1" x14ac:dyDescent="0.3">
      <c r="A196" s="3" t="s">
        <v>79</v>
      </c>
      <c r="B196" s="3" t="s">
        <v>14</v>
      </c>
      <c r="C196" s="3">
        <v>1581</v>
      </c>
      <c r="D196" s="3">
        <v>71</v>
      </c>
      <c r="E196" s="3">
        <v>484364</v>
      </c>
      <c r="F196" s="3">
        <v>3.55</v>
      </c>
      <c r="G196" s="3">
        <v>16149</v>
      </c>
      <c r="H196" s="9">
        <f t="shared" si="6"/>
        <v>-5.7944025567548373E-2</v>
      </c>
      <c r="I196" s="9"/>
    </row>
    <row r="197" spans="1:9" ht="15.75" customHeight="1" x14ac:dyDescent="0.3">
      <c r="A197" s="3" t="s">
        <v>79</v>
      </c>
      <c r="B197" s="3" t="s">
        <v>27</v>
      </c>
      <c r="C197" s="3">
        <v>1035</v>
      </c>
      <c r="D197" s="3">
        <v>171</v>
      </c>
      <c r="E197" s="3">
        <v>148477</v>
      </c>
      <c r="F197" s="3">
        <v>5.21</v>
      </c>
      <c r="G197" s="3">
        <v>7541</v>
      </c>
      <c r="H197" s="9">
        <f t="shared" si="6"/>
        <v>-0.44396775258120785</v>
      </c>
      <c r="I197" s="9"/>
    </row>
    <row r="198" spans="1:9" ht="15.75" customHeight="1" x14ac:dyDescent="0.3">
      <c r="A198" s="3" t="s">
        <v>28</v>
      </c>
      <c r="B198" s="3" t="s">
        <v>33</v>
      </c>
      <c r="C198" s="3">
        <v>1765</v>
      </c>
      <c r="D198" s="3">
        <v>109</v>
      </c>
      <c r="E198" s="3">
        <v>468301</v>
      </c>
      <c r="F198" s="3">
        <v>1.82</v>
      </c>
      <c r="G198" s="3">
        <v>20042</v>
      </c>
      <c r="H198" s="10">
        <f t="shared" si="6"/>
        <v>-1</v>
      </c>
      <c r="I198" s="10"/>
    </row>
    <row r="199" spans="1:9" ht="15.75" customHeight="1" x14ac:dyDescent="0.3">
      <c r="A199" s="3" t="s">
        <v>28</v>
      </c>
      <c r="B199" s="3" t="s">
        <v>43</v>
      </c>
      <c r="C199" s="3">
        <v>837</v>
      </c>
      <c r="D199" s="3">
        <v>430</v>
      </c>
      <c r="E199" s="3">
        <v>364820</v>
      </c>
      <c r="F199" s="3">
        <v>4</v>
      </c>
      <c r="G199" s="3">
        <v>49400</v>
      </c>
      <c r="H199" s="9">
        <f t="shared" si="6"/>
        <v>-1</v>
      </c>
      <c r="I199" s="9"/>
    </row>
    <row r="200" spans="1:9" ht="15.75" customHeight="1" x14ac:dyDescent="0.3">
      <c r="A200" s="3" t="s">
        <v>28</v>
      </c>
      <c r="B200" s="3" t="s">
        <v>14</v>
      </c>
      <c r="C200" s="3">
        <v>337</v>
      </c>
      <c r="D200" s="3">
        <v>68</v>
      </c>
      <c r="E200" s="3">
        <v>456298</v>
      </c>
      <c r="F200" s="3">
        <v>7.57</v>
      </c>
      <c r="G200" s="3">
        <v>4007</v>
      </c>
      <c r="H200" s="9">
        <f t="shared" si="6"/>
        <v>-1</v>
      </c>
      <c r="I200" s="9"/>
    </row>
    <row r="201" spans="1:9" ht="15.75" customHeight="1" x14ac:dyDescent="0.3">
      <c r="A201" s="3" t="s">
        <v>28</v>
      </c>
      <c r="B201" s="3" t="s">
        <v>27</v>
      </c>
      <c r="C201" s="3">
        <v>119</v>
      </c>
      <c r="D201" s="3">
        <v>456</v>
      </c>
      <c r="E201" s="3">
        <v>82558</v>
      </c>
      <c r="F201" s="3">
        <v>6.81</v>
      </c>
      <c r="G201" s="3">
        <v>12174</v>
      </c>
      <c r="H201" s="9">
        <f t="shared" si="6"/>
        <v>-1</v>
      </c>
      <c r="I201" s="9"/>
    </row>
    <row r="202" spans="1:9" ht="15.75" customHeight="1" x14ac:dyDescent="0.3"/>
    <row r="203" spans="1:9" ht="15.75" customHeight="1" x14ac:dyDescent="0.3"/>
    <row r="204" spans="1:9" ht="15.75" customHeight="1" x14ac:dyDescent="0.3"/>
    <row r="205" spans="1:9" ht="15.75" customHeight="1" x14ac:dyDescent="0.3"/>
    <row r="206" spans="1:9" ht="15.75" customHeight="1" x14ac:dyDescent="0.3"/>
    <row r="207" spans="1:9" ht="15.75" customHeight="1" x14ac:dyDescent="0.3"/>
    <row r="208" spans="1:9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zoomScale="80" workbookViewId="0">
      <selection activeCell="Y6" sqref="U2:Y6"/>
    </sheetView>
  </sheetViews>
  <sheetFormatPr defaultColWidth="15.6640625" defaultRowHeight="15" customHeight="1" x14ac:dyDescent="0.3"/>
  <cols>
    <col min="12" max="12" width="46.6640625" bestFit="1" customWidth="1"/>
    <col min="13" max="13" width="16.88671875" customWidth="1"/>
    <col min="16" max="16" width="13.33203125" bestFit="1" customWidth="1"/>
    <col min="17" max="17" width="10.44140625" bestFit="1" customWidth="1"/>
    <col min="18" max="18" width="11.6640625" bestFit="1" customWidth="1"/>
    <col min="19" max="19" width="15" bestFit="1" customWidth="1"/>
    <col min="20" max="20" width="16.33203125" bestFit="1" customWidth="1"/>
    <col min="21" max="21" width="11.6640625" bestFit="1" customWidth="1"/>
    <col min="22" max="22" width="11.77734375" customWidth="1"/>
    <col min="23" max="23" width="12.6640625" customWidth="1"/>
    <col min="24" max="24" width="15" bestFit="1" customWidth="1"/>
    <col min="25" max="25" width="17.109375" customWidth="1"/>
    <col min="26" max="26" width="18.109375" customWidth="1"/>
  </cols>
  <sheetData>
    <row r="1" spans="1:19" ht="14.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3" t="s">
        <v>622</v>
      </c>
      <c r="O1" s="14"/>
    </row>
    <row r="2" spans="1:19" ht="14.4" x14ac:dyDescent="0.3">
      <c r="A2" s="2" t="s">
        <v>257</v>
      </c>
      <c r="B2" s="2" t="s">
        <v>33</v>
      </c>
      <c r="C2" s="2" t="s">
        <v>258</v>
      </c>
      <c r="D2" s="2" t="s">
        <v>45</v>
      </c>
      <c r="E2" s="2" t="s">
        <v>88</v>
      </c>
      <c r="F2" s="2">
        <v>498</v>
      </c>
      <c r="G2" s="2">
        <v>38</v>
      </c>
      <c r="H2" s="2">
        <v>42</v>
      </c>
      <c r="I2" s="2">
        <v>4482</v>
      </c>
      <c r="J2" s="2">
        <v>3647</v>
      </c>
      <c r="K2" s="2">
        <v>32</v>
      </c>
      <c r="L2" s="2" t="s">
        <v>62</v>
      </c>
      <c r="M2" s="2" t="s">
        <v>19</v>
      </c>
      <c r="N2">
        <f>F2+G2+H2</f>
        <v>578</v>
      </c>
    </row>
    <row r="3" spans="1:19" ht="14.4" x14ac:dyDescent="0.3">
      <c r="A3" s="2" t="s">
        <v>289</v>
      </c>
      <c r="B3" s="2" t="s">
        <v>33</v>
      </c>
      <c r="C3" s="2" t="s">
        <v>258</v>
      </c>
      <c r="D3" s="2" t="s">
        <v>35</v>
      </c>
      <c r="E3" s="2" t="s">
        <v>36</v>
      </c>
      <c r="F3" s="2">
        <v>4363</v>
      </c>
      <c r="G3" s="2">
        <v>649</v>
      </c>
      <c r="H3" s="2">
        <v>140</v>
      </c>
      <c r="I3" s="2">
        <v>21815</v>
      </c>
      <c r="J3" s="2">
        <v>21481</v>
      </c>
      <c r="K3" s="2">
        <v>157</v>
      </c>
      <c r="L3" s="2" t="s">
        <v>37</v>
      </c>
      <c r="M3" s="2" t="s">
        <v>19</v>
      </c>
      <c r="N3">
        <f t="shared" ref="N3:N66" si="0">F3+G3+H3</f>
        <v>5152</v>
      </c>
    </row>
    <row r="4" spans="1:19" ht="14.4" x14ac:dyDescent="0.3">
      <c r="A4" s="2" t="s">
        <v>328</v>
      </c>
      <c r="B4" s="2" t="s">
        <v>14</v>
      </c>
      <c r="C4" s="2" t="s">
        <v>329</v>
      </c>
      <c r="D4" s="2" t="s">
        <v>74</v>
      </c>
      <c r="E4" s="2" t="s">
        <v>145</v>
      </c>
      <c r="F4" s="2">
        <v>1702</v>
      </c>
      <c r="G4" s="2">
        <v>750</v>
      </c>
      <c r="H4" s="2">
        <v>179</v>
      </c>
      <c r="I4" s="2">
        <v>34040</v>
      </c>
      <c r="J4" s="2">
        <v>33174</v>
      </c>
      <c r="K4" s="2">
        <v>76</v>
      </c>
      <c r="L4" s="2" t="s">
        <v>37</v>
      </c>
      <c r="M4" s="2" t="s">
        <v>19</v>
      </c>
      <c r="N4">
        <f t="shared" si="0"/>
        <v>2631</v>
      </c>
    </row>
    <row r="5" spans="1:19" ht="14.4" x14ac:dyDescent="0.3">
      <c r="A5" s="2" t="s">
        <v>374</v>
      </c>
      <c r="B5" s="2" t="s">
        <v>43</v>
      </c>
      <c r="C5" s="2" t="s">
        <v>375</v>
      </c>
      <c r="D5" s="2" t="s">
        <v>74</v>
      </c>
      <c r="E5" s="2" t="s">
        <v>75</v>
      </c>
      <c r="F5" s="2">
        <v>3798</v>
      </c>
      <c r="G5" s="2">
        <v>31</v>
      </c>
      <c r="H5" s="2">
        <v>279</v>
      </c>
      <c r="I5" s="2">
        <v>75960</v>
      </c>
      <c r="J5" s="2">
        <v>75813</v>
      </c>
      <c r="K5" s="2">
        <v>266</v>
      </c>
      <c r="L5" s="2" t="s">
        <v>30</v>
      </c>
      <c r="M5" s="2" t="s">
        <v>19</v>
      </c>
      <c r="N5">
        <f t="shared" si="0"/>
        <v>4108</v>
      </c>
    </row>
    <row r="6" spans="1:19" ht="14.4" x14ac:dyDescent="0.3">
      <c r="A6" s="2" t="s">
        <v>422</v>
      </c>
      <c r="B6" s="2" t="s">
        <v>14</v>
      </c>
      <c r="C6" s="2" t="s">
        <v>48</v>
      </c>
      <c r="D6" s="2" t="s">
        <v>22</v>
      </c>
      <c r="E6" s="2" t="s">
        <v>23</v>
      </c>
      <c r="F6" s="2">
        <v>941</v>
      </c>
      <c r="G6" s="2">
        <v>121</v>
      </c>
      <c r="H6" s="2">
        <v>458</v>
      </c>
      <c r="I6" s="2">
        <v>14115</v>
      </c>
      <c r="J6" s="2">
        <v>13838</v>
      </c>
      <c r="K6" s="2">
        <v>87</v>
      </c>
      <c r="L6" s="2" t="s">
        <v>37</v>
      </c>
      <c r="M6" s="2" t="s">
        <v>19</v>
      </c>
      <c r="N6">
        <f t="shared" si="0"/>
        <v>1520</v>
      </c>
    </row>
    <row r="7" spans="1:19" ht="14.4" x14ac:dyDescent="0.3">
      <c r="A7" s="2" t="s">
        <v>39</v>
      </c>
      <c r="B7" s="2" t="s">
        <v>27</v>
      </c>
      <c r="C7" s="2" t="s">
        <v>40</v>
      </c>
      <c r="D7" s="2" t="s">
        <v>16</v>
      </c>
      <c r="E7" s="2" t="s">
        <v>29</v>
      </c>
      <c r="F7" s="2">
        <v>3557</v>
      </c>
      <c r="G7" s="2">
        <v>687</v>
      </c>
      <c r="H7" s="2">
        <v>424</v>
      </c>
      <c r="I7" s="2">
        <v>71140</v>
      </c>
      <c r="J7" s="2">
        <v>70701</v>
      </c>
      <c r="K7" s="2">
        <v>224</v>
      </c>
      <c r="L7" s="2" t="s">
        <v>41</v>
      </c>
      <c r="M7" s="2" t="s">
        <v>19</v>
      </c>
      <c r="N7">
        <f t="shared" si="0"/>
        <v>4668</v>
      </c>
    </row>
    <row r="8" spans="1:19" ht="14.4" x14ac:dyDescent="0.3">
      <c r="A8" s="2" t="s">
        <v>454</v>
      </c>
      <c r="B8" s="2" t="s">
        <v>33</v>
      </c>
      <c r="C8" s="2" t="s">
        <v>455</v>
      </c>
      <c r="D8" s="2" t="s">
        <v>35</v>
      </c>
      <c r="E8" s="2" t="s">
        <v>36</v>
      </c>
      <c r="F8" s="2">
        <v>4808</v>
      </c>
      <c r="G8" s="2">
        <v>772</v>
      </c>
      <c r="H8" s="2">
        <v>320</v>
      </c>
      <c r="I8" s="2">
        <v>72120</v>
      </c>
      <c r="J8" s="2">
        <v>71696</v>
      </c>
      <c r="K8" s="2">
        <v>195</v>
      </c>
      <c r="L8" s="2" t="s">
        <v>37</v>
      </c>
      <c r="M8" s="2" t="s">
        <v>19</v>
      </c>
      <c r="N8">
        <f t="shared" si="0"/>
        <v>5900</v>
      </c>
    </row>
    <row r="9" spans="1:19" ht="14.4" x14ac:dyDescent="0.3">
      <c r="A9" s="2" t="s">
        <v>185</v>
      </c>
      <c r="B9" s="2" t="s">
        <v>14</v>
      </c>
      <c r="C9" s="2" t="s">
        <v>186</v>
      </c>
      <c r="D9" s="2" t="s">
        <v>45</v>
      </c>
      <c r="E9" s="2" t="s">
        <v>49</v>
      </c>
      <c r="F9" s="2">
        <v>432</v>
      </c>
      <c r="G9" s="2">
        <v>171</v>
      </c>
      <c r="H9" s="2">
        <v>280</v>
      </c>
      <c r="I9" s="2">
        <v>3024</v>
      </c>
      <c r="J9" s="2">
        <v>2285</v>
      </c>
      <c r="K9" s="2">
        <v>184</v>
      </c>
      <c r="L9" s="2" t="s">
        <v>37</v>
      </c>
      <c r="M9" s="2" t="s">
        <v>19</v>
      </c>
      <c r="N9">
        <f t="shared" si="0"/>
        <v>883</v>
      </c>
    </row>
    <row r="10" spans="1:19" ht="14.4" x14ac:dyDescent="0.3">
      <c r="A10" s="2" t="s">
        <v>332</v>
      </c>
      <c r="B10" s="2" t="s">
        <v>33</v>
      </c>
      <c r="C10" s="2" t="s">
        <v>186</v>
      </c>
      <c r="D10" s="2" t="s">
        <v>52</v>
      </c>
      <c r="E10" s="2" t="s">
        <v>215</v>
      </c>
      <c r="F10" s="2">
        <v>3559</v>
      </c>
      <c r="G10" s="2">
        <v>59</v>
      </c>
      <c r="H10" s="2">
        <v>289</v>
      </c>
      <c r="I10" s="2">
        <v>35590</v>
      </c>
      <c r="J10" s="2">
        <v>35105</v>
      </c>
      <c r="K10" s="2">
        <v>122</v>
      </c>
      <c r="L10" s="2" t="s">
        <v>37</v>
      </c>
      <c r="M10" s="2" t="s">
        <v>19</v>
      </c>
      <c r="N10">
        <f t="shared" si="0"/>
        <v>3907</v>
      </c>
    </row>
    <row r="11" spans="1:19" ht="14.4" x14ac:dyDescent="0.3">
      <c r="A11" s="2" t="s">
        <v>386</v>
      </c>
      <c r="B11" s="2" t="s">
        <v>14</v>
      </c>
      <c r="C11" s="2" t="s">
        <v>387</v>
      </c>
      <c r="D11" s="2" t="s">
        <v>52</v>
      </c>
      <c r="E11" s="2" t="s">
        <v>132</v>
      </c>
      <c r="F11" s="2">
        <v>3215</v>
      </c>
      <c r="G11" s="2">
        <v>960</v>
      </c>
      <c r="H11" s="2">
        <v>202</v>
      </c>
      <c r="I11" s="2">
        <v>32150</v>
      </c>
      <c r="J11" s="2">
        <v>31404</v>
      </c>
      <c r="K11" s="2">
        <v>251</v>
      </c>
      <c r="L11" s="2" t="s">
        <v>37</v>
      </c>
      <c r="M11" s="2" t="s">
        <v>19</v>
      </c>
      <c r="N11">
        <f t="shared" si="0"/>
        <v>4377</v>
      </c>
    </row>
    <row r="12" spans="1:19" ht="14.4" x14ac:dyDescent="0.3">
      <c r="A12" s="2" t="s">
        <v>114</v>
      </c>
      <c r="B12" s="2" t="s">
        <v>14</v>
      </c>
      <c r="C12" s="2" t="s">
        <v>115</v>
      </c>
      <c r="D12" s="2" t="s">
        <v>45</v>
      </c>
      <c r="E12" s="2" t="s">
        <v>49</v>
      </c>
      <c r="F12" s="2">
        <v>2278</v>
      </c>
      <c r="G12" s="2">
        <v>10</v>
      </c>
      <c r="H12" s="2">
        <v>321</v>
      </c>
      <c r="I12" s="2">
        <v>13668</v>
      </c>
      <c r="J12" s="2">
        <v>12676</v>
      </c>
      <c r="K12" s="2">
        <v>275</v>
      </c>
      <c r="L12" s="2" t="s">
        <v>37</v>
      </c>
      <c r="M12" s="2" t="s">
        <v>19</v>
      </c>
      <c r="N12">
        <f t="shared" si="0"/>
        <v>2609</v>
      </c>
    </row>
    <row r="13" spans="1:19" ht="14.4" x14ac:dyDescent="0.3">
      <c r="A13" s="2" t="s">
        <v>344</v>
      </c>
      <c r="B13" s="2" t="s">
        <v>33</v>
      </c>
      <c r="C13" s="2" t="s">
        <v>345</v>
      </c>
      <c r="D13" s="2" t="s">
        <v>35</v>
      </c>
      <c r="E13" s="2" t="s">
        <v>36</v>
      </c>
      <c r="F13" s="2">
        <v>1762</v>
      </c>
      <c r="G13" s="2">
        <v>405</v>
      </c>
      <c r="H13" s="2">
        <v>423</v>
      </c>
      <c r="I13" s="2">
        <v>22906</v>
      </c>
      <c r="J13" s="2">
        <v>21925</v>
      </c>
      <c r="K13" s="2">
        <v>25</v>
      </c>
      <c r="L13" s="2" t="s">
        <v>30</v>
      </c>
      <c r="M13" s="2" t="s">
        <v>19</v>
      </c>
      <c r="N13">
        <f t="shared" si="0"/>
        <v>2590</v>
      </c>
    </row>
    <row r="14" spans="1:19" ht="14.4" x14ac:dyDescent="0.3">
      <c r="A14" s="2" t="s">
        <v>546</v>
      </c>
      <c r="B14" s="2" t="s">
        <v>33</v>
      </c>
      <c r="C14" s="2" t="s">
        <v>404</v>
      </c>
      <c r="D14" s="2" t="s">
        <v>16</v>
      </c>
      <c r="E14" s="2" t="s">
        <v>82</v>
      </c>
      <c r="F14" s="2">
        <v>1164</v>
      </c>
      <c r="G14" s="2">
        <v>616</v>
      </c>
      <c r="H14" s="2">
        <v>324</v>
      </c>
      <c r="I14" s="2">
        <v>6984</v>
      </c>
      <c r="J14" s="2">
        <v>6636</v>
      </c>
      <c r="K14" s="2">
        <v>82</v>
      </c>
      <c r="L14" s="2" t="s">
        <v>37</v>
      </c>
      <c r="M14" s="2" t="s">
        <v>19</v>
      </c>
      <c r="N14">
        <f t="shared" si="0"/>
        <v>2104</v>
      </c>
      <c r="P14" s="7"/>
      <c r="Q14" s="2"/>
      <c r="R14" s="2"/>
      <c r="S14" s="2"/>
    </row>
    <row r="15" spans="1:19" ht="14.4" x14ac:dyDescent="0.3">
      <c r="A15" s="2" t="s">
        <v>80</v>
      </c>
      <c r="B15" s="2" t="s">
        <v>33</v>
      </c>
      <c r="C15" s="2" t="s">
        <v>81</v>
      </c>
      <c r="D15" s="2" t="s">
        <v>16</v>
      </c>
      <c r="E15" s="2" t="s">
        <v>82</v>
      </c>
      <c r="F15" s="2">
        <v>3000</v>
      </c>
      <c r="G15" s="2">
        <v>382</v>
      </c>
      <c r="H15" s="2">
        <v>325</v>
      </c>
      <c r="I15" s="2">
        <v>36000</v>
      </c>
      <c r="J15" s="2">
        <v>35819</v>
      </c>
      <c r="K15" s="2">
        <v>19</v>
      </c>
      <c r="L15" s="2" t="s">
        <v>62</v>
      </c>
      <c r="M15" s="2" t="s">
        <v>19</v>
      </c>
      <c r="N15">
        <f t="shared" si="0"/>
        <v>3707</v>
      </c>
      <c r="P15" s="7"/>
    </row>
    <row r="16" spans="1:19" ht="14.4" x14ac:dyDescent="0.3">
      <c r="A16" s="2" t="s">
        <v>116</v>
      </c>
      <c r="B16" s="2" t="s">
        <v>43</v>
      </c>
      <c r="C16" s="2" t="s">
        <v>117</v>
      </c>
      <c r="D16" s="2" t="s">
        <v>52</v>
      </c>
      <c r="E16" s="2" t="s">
        <v>59</v>
      </c>
      <c r="F16" s="2">
        <v>1407</v>
      </c>
      <c r="G16" s="2">
        <v>400</v>
      </c>
      <c r="H16" s="2">
        <v>351</v>
      </c>
      <c r="I16" s="2">
        <v>16884</v>
      </c>
      <c r="J16" s="2">
        <v>15954</v>
      </c>
      <c r="K16" s="2">
        <v>113</v>
      </c>
      <c r="L16" s="2" t="s">
        <v>30</v>
      </c>
      <c r="M16" s="2" t="s">
        <v>19</v>
      </c>
      <c r="N16">
        <f t="shared" si="0"/>
        <v>2158</v>
      </c>
      <c r="P16" s="7"/>
    </row>
    <row r="17" spans="1:26" ht="14.4" x14ac:dyDescent="0.3">
      <c r="A17" s="2" t="s">
        <v>566</v>
      </c>
      <c r="B17" s="2" t="s">
        <v>14</v>
      </c>
      <c r="C17" s="2" t="s">
        <v>318</v>
      </c>
      <c r="D17" s="2" t="s">
        <v>45</v>
      </c>
      <c r="E17" s="2" t="s">
        <v>49</v>
      </c>
      <c r="F17" s="2">
        <v>4494</v>
      </c>
      <c r="G17" s="2">
        <v>717</v>
      </c>
      <c r="H17" s="2">
        <v>45</v>
      </c>
      <c r="I17" s="2">
        <v>62916</v>
      </c>
      <c r="J17" s="2">
        <v>62688</v>
      </c>
      <c r="K17" s="2">
        <v>191</v>
      </c>
      <c r="L17" s="2" t="s">
        <v>505</v>
      </c>
      <c r="M17" s="2" t="s">
        <v>19</v>
      </c>
      <c r="N17">
        <f t="shared" si="0"/>
        <v>5256</v>
      </c>
      <c r="P17" s="7"/>
      <c r="Q17" s="4"/>
      <c r="R17" s="4"/>
      <c r="S17" s="4"/>
    </row>
    <row r="18" spans="1:26" ht="14.4" x14ac:dyDescent="0.3">
      <c r="A18" s="2" t="s">
        <v>176</v>
      </c>
      <c r="B18" s="2" t="s">
        <v>14</v>
      </c>
      <c r="C18" s="2" t="s">
        <v>177</v>
      </c>
      <c r="D18" s="2" t="s">
        <v>74</v>
      </c>
      <c r="E18" s="2" t="s">
        <v>145</v>
      </c>
      <c r="F18" s="2">
        <v>4886</v>
      </c>
      <c r="G18" s="2">
        <v>983</v>
      </c>
      <c r="H18" s="2">
        <v>409</v>
      </c>
      <c r="I18" s="2">
        <v>43974</v>
      </c>
      <c r="J18" s="2">
        <v>43239</v>
      </c>
      <c r="K18" s="2">
        <v>65</v>
      </c>
      <c r="L18" s="2" t="s">
        <v>30</v>
      </c>
      <c r="M18" s="2" t="s">
        <v>19</v>
      </c>
      <c r="N18">
        <f t="shared" si="0"/>
        <v>6278</v>
      </c>
    </row>
    <row r="19" spans="1:26" ht="14.4" x14ac:dyDescent="0.3">
      <c r="A19" s="2" t="s">
        <v>86</v>
      </c>
      <c r="B19" s="2" t="s">
        <v>33</v>
      </c>
      <c r="C19" s="2" t="s">
        <v>87</v>
      </c>
      <c r="D19" s="2" t="s">
        <v>45</v>
      </c>
      <c r="E19" s="2" t="s">
        <v>88</v>
      </c>
      <c r="F19" s="2">
        <v>4054</v>
      </c>
      <c r="G19" s="2">
        <v>488</v>
      </c>
      <c r="H19" s="2">
        <v>373</v>
      </c>
      <c r="I19" s="2">
        <v>77026</v>
      </c>
      <c r="J19" s="2">
        <v>76881</v>
      </c>
      <c r="K19" s="2">
        <v>25</v>
      </c>
      <c r="L19" s="2" t="s">
        <v>30</v>
      </c>
      <c r="M19" s="2" t="s">
        <v>19</v>
      </c>
      <c r="N19">
        <f t="shared" si="0"/>
        <v>4915</v>
      </c>
      <c r="V19" s="2" t="s">
        <v>612</v>
      </c>
      <c r="W19" t="s">
        <v>614</v>
      </c>
      <c r="X19" t="s">
        <v>615</v>
      </c>
      <c r="Y19" t="s">
        <v>616</v>
      </c>
      <c r="Z19" s="2" t="s">
        <v>623</v>
      </c>
    </row>
    <row r="20" spans="1:26" ht="14.4" x14ac:dyDescent="0.3">
      <c r="A20" s="2" t="s">
        <v>273</v>
      </c>
      <c r="B20" s="2" t="s">
        <v>14</v>
      </c>
      <c r="C20" s="2" t="s">
        <v>274</v>
      </c>
      <c r="D20" s="2" t="s">
        <v>45</v>
      </c>
      <c r="E20" s="2" t="s">
        <v>49</v>
      </c>
      <c r="F20" s="2">
        <v>4419</v>
      </c>
      <c r="G20" s="2">
        <v>236</v>
      </c>
      <c r="H20" s="2">
        <v>369</v>
      </c>
      <c r="I20" s="2">
        <v>44190</v>
      </c>
      <c r="J20" s="2">
        <v>43582</v>
      </c>
      <c r="K20" s="2">
        <v>10</v>
      </c>
      <c r="L20" s="2" t="s">
        <v>37</v>
      </c>
      <c r="M20" s="2" t="s">
        <v>19</v>
      </c>
      <c r="N20">
        <f t="shared" si="0"/>
        <v>5024</v>
      </c>
      <c r="P20" s="6" t="s">
        <v>612</v>
      </c>
      <c r="Q20" t="s">
        <v>614</v>
      </c>
      <c r="R20" t="s">
        <v>615</v>
      </c>
      <c r="S20" t="s">
        <v>616</v>
      </c>
      <c r="T20" t="s">
        <v>623</v>
      </c>
      <c r="V20" t="s">
        <v>463</v>
      </c>
      <c r="W20">
        <v>1272</v>
      </c>
      <c r="X20">
        <v>465</v>
      </c>
      <c r="Y20">
        <v>99</v>
      </c>
      <c r="Z20">
        <v>1836</v>
      </c>
    </row>
    <row r="21" spans="1:26" ht="15.75" customHeight="1" x14ac:dyDescent="0.3">
      <c r="A21" s="2" t="s">
        <v>402</v>
      </c>
      <c r="B21" s="2" t="s">
        <v>27</v>
      </c>
      <c r="C21" s="2" t="s">
        <v>274</v>
      </c>
      <c r="D21" s="2" t="s">
        <v>35</v>
      </c>
      <c r="E21" s="2" t="s">
        <v>154</v>
      </c>
      <c r="F21" s="2">
        <v>4350</v>
      </c>
      <c r="G21" s="2">
        <v>771</v>
      </c>
      <c r="H21" s="2">
        <v>7</v>
      </c>
      <c r="I21" s="2">
        <v>60900</v>
      </c>
      <c r="J21" s="2">
        <v>60592</v>
      </c>
      <c r="K21" s="2">
        <v>195</v>
      </c>
      <c r="L21" s="2" t="s">
        <v>37</v>
      </c>
      <c r="M21" s="2" t="s">
        <v>19</v>
      </c>
      <c r="N21">
        <f t="shared" si="0"/>
        <v>5128</v>
      </c>
      <c r="P21" s="7" t="s">
        <v>624</v>
      </c>
      <c r="Q21">
        <v>819991</v>
      </c>
      <c r="R21">
        <v>142925</v>
      </c>
      <c r="S21">
        <v>74851</v>
      </c>
      <c r="T21">
        <v>1037767</v>
      </c>
      <c r="V21" t="s">
        <v>416</v>
      </c>
      <c r="W21">
        <v>1955</v>
      </c>
      <c r="X21">
        <v>1149</v>
      </c>
      <c r="Y21">
        <v>420</v>
      </c>
      <c r="Z21">
        <v>3524</v>
      </c>
    </row>
    <row r="22" spans="1:26" ht="15.75" customHeight="1" x14ac:dyDescent="0.3">
      <c r="A22" s="2" t="s">
        <v>443</v>
      </c>
      <c r="B22" s="2" t="s">
        <v>43</v>
      </c>
      <c r="C22" s="2" t="s">
        <v>444</v>
      </c>
      <c r="D22" s="2" t="s">
        <v>16</v>
      </c>
      <c r="E22" s="2" t="s">
        <v>65</v>
      </c>
      <c r="F22" s="2">
        <v>1814</v>
      </c>
      <c r="G22" s="2">
        <v>653</v>
      </c>
      <c r="H22" s="2">
        <v>363</v>
      </c>
      <c r="I22" s="2">
        <v>25396</v>
      </c>
      <c r="J22" s="2">
        <v>25286</v>
      </c>
      <c r="K22" s="2">
        <v>39</v>
      </c>
      <c r="L22" s="2" t="s">
        <v>445</v>
      </c>
      <c r="M22" s="2" t="s">
        <v>19</v>
      </c>
      <c r="N22">
        <f t="shared" si="0"/>
        <v>2830</v>
      </c>
      <c r="P22" s="8" t="s">
        <v>463</v>
      </c>
      <c r="Q22">
        <v>1272</v>
      </c>
      <c r="R22">
        <v>465</v>
      </c>
      <c r="S22">
        <v>99</v>
      </c>
      <c r="T22">
        <v>1836</v>
      </c>
      <c r="V22" t="s">
        <v>232</v>
      </c>
      <c r="W22">
        <v>3861</v>
      </c>
      <c r="X22">
        <v>960</v>
      </c>
      <c r="Y22">
        <v>101</v>
      </c>
      <c r="Z22">
        <v>4922</v>
      </c>
    </row>
    <row r="23" spans="1:26" ht="15.75" customHeight="1" x14ac:dyDescent="0.3">
      <c r="A23" s="2" t="s">
        <v>167</v>
      </c>
      <c r="B23" s="2" t="s">
        <v>14</v>
      </c>
      <c r="C23" s="2" t="s">
        <v>168</v>
      </c>
      <c r="D23" s="2" t="s">
        <v>74</v>
      </c>
      <c r="E23" s="2" t="s">
        <v>145</v>
      </c>
      <c r="F23" s="2">
        <v>2825</v>
      </c>
      <c r="G23" s="2">
        <v>535</v>
      </c>
      <c r="H23" s="2">
        <v>295</v>
      </c>
      <c r="I23" s="2">
        <v>45200</v>
      </c>
      <c r="J23" s="2">
        <v>44739</v>
      </c>
      <c r="K23" s="2">
        <v>169</v>
      </c>
      <c r="L23" s="2" t="s">
        <v>30</v>
      </c>
      <c r="M23" s="2" t="s">
        <v>19</v>
      </c>
      <c r="N23">
        <f t="shared" si="0"/>
        <v>3655</v>
      </c>
      <c r="P23" s="8" t="s">
        <v>416</v>
      </c>
      <c r="Q23">
        <v>1955</v>
      </c>
      <c r="R23">
        <v>1149</v>
      </c>
      <c r="S23">
        <v>420</v>
      </c>
      <c r="T23">
        <v>3524</v>
      </c>
      <c r="V23" t="s">
        <v>324</v>
      </c>
      <c r="W23">
        <v>3065</v>
      </c>
      <c r="X23">
        <v>772</v>
      </c>
      <c r="Y23">
        <v>142</v>
      </c>
      <c r="Z23">
        <v>3979</v>
      </c>
    </row>
    <row r="24" spans="1:26" ht="15.75" customHeight="1" x14ac:dyDescent="0.3">
      <c r="A24" s="2" t="s">
        <v>407</v>
      </c>
      <c r="B24" s="2" t="s">
        <v>14</v>
      </c>
      <c r="C24" s="2" t="s">
        <v>341</v>
      </c>
      <c r="D24" s="2" t="s">
        <v>16</v>
      </c>
      <c r="E24" s="2" t="s">
        <v>17</v>
      </c>
      <c r="F24" s="2">
        <v>4782</v>
      </c>
      <c r="G24" s="2">
        <v>721</v>
      </c>
      <c r="H24" s="2">
        <v>82</v>
      </c>
      <c r="I24" s="2">
        <v>86076</v>
      </c>
      <c r="J24" s="2">
        <v>85339</v>
      </c>
      <c r="K24" s="2">
        <v>19</v>
      </c>
      <c r="L24" s="2" t="s">
        <v>37</v>
      </c>
      <c r="M24" s="2" t="s">
        <v>19</v>
      </c>
      <c r="N24">
        <f t="shared" si="0"/>
        <v>5585</v>
      </c>
      <c r="P24" s="8" t="s">
        <v>232</v>
      </c>
      <c r="Q24">
        <v>3861</v>
      </c>
      <c r="R24">
        <v>960</v>
      </c>
      <c r="S24">
        <v>101</v>
      </c>
      <c r="T24">
        <v>4922</v>
      </c>
      <c r="V24" t="s">
        <v>226</v>
      </c>
      <c r="W24">
        <v>4164</v>
      </c>
      <c r="X24">
        <v>1298</v>
      </c>
      <c r="Y24">
        <v>711</v>
      </c>
      <c r="Z24">
        <v>6173</v>
      </c>
    </row>
    <row r="25" spans="1:26" ht="15.75" customHeight="1" x14ac:dyDescent="0.3">
      <c r="A25" s="2" t="s">
        <v>467</v>
      </c>
      <c r="B25" s="2" t="s">
        <v>33</v>
      </c>
      <c r="C25" s="2" t="s">
        <v>341</v>
      </c>
      <c r="D25" s="2" t="s">
        <v>35</v>
      </c>
      <c r="E25" s="2" t="s">
        <v>36</v>
      </c>
      <c r="F25" s="2">
        <v>3770</v>
      </c>
      <c r="G25" s="2">
        <v>917</v>
      </c>
      <c r="H25" s="2">
        <v>129</v>
      </c>
      <c r="I25" s="2">
        <v>71630</v>
      </c>
      <c r="J25" s="2">
        <v>71322</v>
      </c>
      <c r="K25" s="2">
        <v>76</v>
      </c>
      <c r="L25" s="2" t="s">
        <v>62</v>
      </c>
      <c r="M25" s="2" t="s">
        <v>19</v>
      </c>
      <c r="N25">
        <f t="shared" si="0"/>
        <v>4816</v>
      </c>
      <c r="P25" s="8" t="s">
        <v>324</v>
      </c>
      <c r="Q25">
        <v>3065</v>
      </c>
      <c r="R25">
        <v>772</v>
      </c>
      <c r="S25">
        <v>142</v>
      </c>
      <c r="T25">
        <v>3979</v>
      </c>
      <c r="V25" t="s">
        <v>530</v>
      </c>
      <c r="W25">
        <v>1556</v>
      </c>
      <c r="X25">
        <v>195</v>
      </c>
      <c r="Y25">
        <v>131</v>
      </c>
      <c r="Z25">
        <v>1882</v>
      </c>
    </row>
    <row r="26" spans="1:26" ht="15.75" customHeight="1" x14ac:dyDescent="0.3">
      <c r="A26" s="2" t="s">
        <v>72</v>
      </c>
      <c r="B26" s="2" t="s">
        <v>43</v>
      </c>
      <c r="C26" s="2" t="s">
        <v>73</v>
      </c>
      <c r="D26" s="2" t="s">
        <v>74</v>
      </c>
      <c r="E26" s="2" t="s">
        <v>75</v>
      </c>
      <c r="F26" s="2">
        <v>3888</v>
      </c>
      <c r="G26" s="2">
        <v>604</v>
      </c>
      <c r="H26" s="2">
        <v>128</v>
      </c>
      <c r="I26" s="2">
        <v>77760</v>
      </c>
      <c r="J26" s="2">
        <v>77167</v>
      </c>
      <c r="K26" s="2">
        <v>20</v>
      </c>
      <c r="L26" s="2" t="s">
        <v>62</v>
      </c>
      <c r="M26" s="2" t="s">
        <v>19</v>
      </c>
      <c r="N26">
        <f t="shared" si="0"/>
        <v>4620</v>
      </c>
      <c r="P26" s="8" t="s">
        <v>226</v>
      </c>
      <c r="Q26">
        <v>4164</v>
      </c>
      <c r="R26">
        <v>1298</v>
      </c>
      <c r="S26">
        <v>711</v>
      </c>
      <c r="T26">
        <v>6173</v>
      </c>
      <c r="V26" t="s">
        <v>151</v>
      </c>
      <c r="W26">
        <v>3739</v>
      </c>
      <c r="X26">
        <v>1320</v>
      </c>
      <c r="Y26">
        <v>760</v>
      </c>
      <c r="Z26">
        <v>5819</v>
      </c>
    </row>
    <row r="27" spans="1:26" ht="15.75" customHeight="1" x14ac:dyDescent="0.3">
      <c r="A27" s="2" t="s">
        <v>506</v>
      </c>
      <c r="B27" s="2" t="s">
        <v>33</v>
      </c>
      <c r="C27" s="2" t="s">
        <v>507</v>
      </c>
      <c r="D27" s="2" t="s">
        <v>52</v>
      </c>
      <c r="E27" s="2" t="s">
        <v>215</v>
      </c>
      <c r="F27" s="2">
        <v>4853</v>
      </c>
      <c r="G27" s="2">
        <v>837</v>
      </c>
      <c r="H27" s="2">
        <v>340</v>
      </c>
      <c r="I27" s="2">
        <v>72795</v>
      </c>
      <c r="J27" s="2">
        <v>72237</v>
      </c>
      <c r="K27" s="2">
        <v>170</v>
      </c>
      <c r="L27" s="2" t="s">
        <v>37</v>
      </c>
      <c r="M27" s="2" t="s">
        <v>19</v>
      </c>
      <c r="N27">
        <f t="shared" si="0"/>
        <v>6030</v>
      </c>
      <c r="P27" s="8" t="s">
        <v>530</v>
      </c>
      <c r="Q27">
        <v>1556</v>
      </c>
      <c r="R27">
        <v>195</v>
      </c>
      <c r="S27">
        <v>131</v>
      </c>
      <c r="T27">
        <v>1882</v>
      </c>
      <c r="V27" t="s">
        <v>254</v>
      </c>
      <c r="W27">
        <v>5558</v>
      </c>
      <c r="X27">
        <v>501</v>
      </c>
      <c r="Y27">
        <v>796</v>
      </c>
      <c r="Z27">
        <v>6855</v>
      </c>
    </row>
    <row r="28" spans="1:26" ht="15.75" customHeight="1" x14ac:dyDescent="0.3">
      <c r="A28" s="2" t="s">
        <v>312</v>
      </c>
      <c r="B28" s="2" t="s">
        <v>27</v>
      </c>
      <c r="C28" s="2" t="s">
        <v>313</v>
      </c>
      <c r="D28" s="2" t="s">
        <v>22</v>
      </c>
      <c r="E28" s="2" t="s">
        <v>104</v>
      </c>
      <c r="F28" s="2">
        <v>2746</v>
      </c>
      <c r="G28" s="2">
        <v>156</v>
      </c>
      <c r="H28" s="2">
        <v>203</v>
      </c>
      <c r="I28" s="2">
        <v>32952</v>
      </c>
      <c r="J28" s="2">
        <v>32147</v>
      </c>
      <c r="K28" s="2">
        <v>147</v>
      </c>
      <c r="L28" s="2" t="s">
        <v>37</v>
      </c>
      <c r="M28" s="2" t="s">
        <v>19</v>
      </c>
      <c r="N28">
        <f t="shared" si="0"/>
        <v>3105</v>
      </c>
      <c r="P28" s="8" t="s">
        <v>151</v>
      </c>
      <c r="Q28">
        <v>3739</v>
      </c>
      <c r="R28">
        <v>1320</v>
      </c>
      <c r="S28">
        <v>760</v>
      </c>
      <c r="T28">
        <v>5819</v>
      </c>
      <c r="V28" t="s">
        <v>453</v>
      </c>
      <c r="W28">
        <v>246</v>
      </c>
      <c r="X28">
        <v>149</v>
      </c>
      <c r="Y28">
        <v>130</v>
      </c>
      <c r="Z28">
        <v>525</v>
      </c>
    </row>
    <row r="29" spans="1:26" ht="15.75" customHeight="1" x14ac:dyDescent="0.3">
      <c r="A29" s="2" t="s">
        <v>141</v>
      </c>
      <c r="B29" s="2" t="s">
        <v>43</v>
      </c>
      <c r="C29" s="2" t="s">
        <v>142</v>
      </c>
      <c r="D29" s="2" t="s">
        <v>74</v>
      </c>
      <c r="E29" s="2" t="s">
        <v>75</v>
      </c>
      <c r="F29" s="2">
        <v>3371</v>
      </c>
      <c r="G29" s="2">
        <v>106</v>
      </c>
      <c r="H29" s="2">
        <v>327</v>
      </c>
      <c r="I29" s="2">
        <v>50565</v>
      </c>
      <c r="J29" s="2">
        <v>49816</v>
      </c>
      <c r="K29" s="2">
        <v>176</v>
      </c>
      <c r="L29" s="2" t="s">
        <v>62</v>
      </c>
      <c r="M29" s="2" t="s">
        <v>19</v>
      </c>
      <c r="N29">
        <f t="shared" si="0"/>
        <v>3804</v>
      </c>
      <c r="P29" s="8" t="s">
        <v>254</v>
      </c>
      <c r="Q29">
        <v>5558</v>
      </c>
      <c r="R29">
        <v>501</v>
      </c>
      <c r="S29">
        <v>796</v>
      </c>
      <c r="T29">
        <v>6855</v>
      </c>
      <c r="V29" t="s">
        <v>156</v>
      </c>
      <c r="W29">
        <v>4303</v>
      </c>
      <c r="X29">
        <v>1396</v>
      </c>
      <c r="Y29">
        <v>342</v>
      </c>
      <c r="Z29">
        <v>6041</v>
      </c>
    </row>
    <row r="30" spans="1:26" ht="15.75" customHeight="1" x14ac:dyDescent="0.3">
      <c r="A30" s="2" t="s">
        <v>359</v>
      </c>
      <c r="B30" s="2" t="s">
        <v>43</v>
      </c>
      <c r="C30" s="2" t="s">
        <v>360</v>
      </c>
      <c r="D30" s="2" t="s">
        <v>22</v>
      </c>
      <c r="E30" s="2" t="s">
        <v>56</v>
      </c>
      <c r="F30" s="2">
        <v>2418</v>
      </c>
      <c r="G30" s="2">
        <v>754</v>
      </c>
      <c r="H30" s="2">
        <v>54</v>
      </c>
      <c r="I30" s="2">
        <v>43524</v>
      </c>
      <c r="J30" s="2">
        <v>42743</v>
      </c>
      <c r="K30" s="2">
        <v>182</v>
      </c>
      <c r="L30" s="2" t="s">
        <v>37</v>
      </c>
      <c r="M30" s="2" t="s">
        <v>19</v>
      </c>
      <c r="N30">
        <f t="shared" si="0"/>
        <v>3226</v>
      </c>
      <c r="P30" s="8" t="s">
        <v>453</v>
      </c>
      <c r="Q30">
        <v>246</v>
      </c>
      <c r="R30">
        <v>149</v>
      </c>
      <c r="S30">
        <v>130</v>
      </c>
      <c r="T30">
        <v>525</v>
      </c>
      <c r="V30" t="s">
        <v>258</v>
      </c>
      <c r="W30">
        <v>4861</v>
      </c>
      <c r="X30">
        <v>687</v>
      </c>
      <c r="Y30">
        <v>182</v>
      </c>
      <c r="Z30">
        <v>5730</v>
      </c>
    </row>
    <row r="31" spans="1:26" ht="15.75" customHeight="1" x14ac:dyDescent="0.3">
      <c r="A31" s="2" t="s">
        <v>275</v>
      </c>
      <c r="B31" s="2" t="s">
        <v>14</v>
      </c>
      <c r="C31" s="2" t="s">
        <v>276</v>
      </c>
      <c r="D31" s="2" t="s">
        <v>35</v>
      </c>
      <c r="E31" s="2" t="s">
        <v>149</v>
      </c>
      <c r="F31" s="2">
        <v>4000</v>
      </c>
      <c r="G31" s="2">
        <v>689</v>
      </c>
      <c r="H31" s="2">
        <v>488</v>
      </c>
      <c r="I31" s="2">
        <v>40000</v>
      </c>
      <c r="J31" s="2">
        <v>39569</v>
      </c>
      <c r="K31" s="2">
        <v>44</v>
      </c>
      <c r="L31" s="2" t="s">
        <v>62</v>
      </c>
      <c r="M31" s="2" t="s">
        <v>19</v>
      </c>
      <c r="N31">
        <f t="shared" si="0"/>
        <v>5177</v>
      </c>
      <c r="P31" s="8" t="s">
        <v>156</v>
      </c>
      <c r="Q31">
        <v>4303</v>
      </c>
      <c r="R31">
        <v>1396</v>
      </c>
      <c r="S31">
        <v>342</v>
      </c>
      <c r="T31">
        <v>6041</v>
      </c>
      <c r="V31" t="s">
        <v>329</v>
      </c>
      <c r="W31">
        <v>1702</v>
      </c>
      <c r="X31">
        <v>750</v>
      </c>
      <c r="Y31">
        <v>179</v>
      </c>
      <c r="Z31">
        <v>2631</v>
      </c>
    </row>
    <row r="32" spans="1:26" ht="15.75" customHeight="1" x14ac:dyDescent="0.3">
      <c r="A32" s="2" t="s">
        <v>66</v>
      </c>
      <c r="B32" s="2" t="s">
        <v>27</v>
      </c>
      <c r="C32" s="2" t="s">
        <v>67</v>
      </c>
      <c r="D32" s="2" t="s">
        <v>45</v>
      </c>
      <c r="E32" s="2" t="s">
        <v>68</v>
      </c>
      <c r="F32" s="2">
        <v>1171</v>
      </c>
      <c r="G32" s="2">
        <v>286</v>
      </c>
      <c r="H32" s="2">
        <v>231</v>
      </c>
      <c r="I32" s="2">
        <v>22249</v>
      </c>
      <c r="J32" s="2">
        <v>21282</v>
      </c>
      <c r="K32" s="2">
        <v>114</v>
      </c>
      <c r="L32" s="2" t="s">
        <v>37</v>
      </c>
      <c r="M32" s="2" t="s">
        <v>19</v>
      </c>
      <c r="N32">
        <f t="shared" si="0"/>
        <v>1688</v>
      </c>
      <c r="P32" s="8" t="s">
        <v>258</v>
      </c>
      <c r="Q32">
        <v>4861</v>
      </c>
      <c r="R32">
        <v>687</v>
      </c>
      <c r="S32">
        <v>182</v>
      </c>
      <c r="T32">
        <v>5730</v>
      </c>
      <c r="V32" t="s">
        <v>164</v>
      </c>
      <c r="W32">
        <v>2180</v>
      </c>
      <c r="X32">
        <v>443</v>
      </c>
      <c r="Y32">
        <v>295</v>
      </c>
      <c r="Z32">
        <v>2918</v>
      </c>
    </row>
    <row r="33" spans="1:26" ht="15.75" customHeight="1" x14ac:dyDescent="0.3">
      <c r="A33" s="2" t="s">
        <v>417</v>
      </c>
      <c r="B33" s="2" t="s">
        <v>33</v>
      </c>
      <c r="C33" s="2" t="s">
        <v>418</v>
      </c>
      <c r="D33" s="2" t="s">
        <v>45</v>
      </c>
      <c r="E33" s="2" t="s">
        <v>88</v>
      </c>
      <c r="F33" s="2">
        <v>3773</v>
      </c>
      <c r="G33" s="2">
        <v>299</v>
      </c>
      <c r="H33" s="2">
        <v>38</v>
      </c>
      <c r="I33" s="2">
        <v>71687</v>
      </c>
      <c r="J33" s="2">
        <v>71447</v>
      </c>
      <c r="K33" s="2">
        <v>286</v>
      </c>
      <c r="L33" s="2" t="s">
        <v>62</v>
      </c>
      <c r="M33" s="2" t="s">
        <v>19</v>
      </c>
      <c r="N33">
        <f t="shared" si="0"/>
        <v>4110</v>
      </c>
      <c r="P33" s="8" t="s">
        <v>329</v>
      </c>
      <c r="Q33">
        <v>1702</v>
      </c>
      <c r="R33">
        <v>750</v>
      </c>
      <c r="S33">
        <v>179</v>
      </c>
      <c r="T33">
        <v>2631</v>
      </c>
      <c r="V33" t="s">
        <v>558</v>
      </c>
      <c r="W33">
        <v>4731</v>
      </c>
      <c r="X33">
        <v>173</v>
      </c>
      <c r="Y33">
        <v>276</v>
      </c>
      <c r="Z33">
        <v>5180</v>
      </c>
    </row>
    <row r="34" spans="1:26" ht="15.75" customHeight="1" x14ac:dyDescent="0.3">
      <c r="A34" s="2" t="s">
        <v>361</v>
      </c>
      <c r="B34" s="2" t="s">
        <v>27</v>
      </c>
      <c r="C34" s="2" t="s">
        <v>362</v>
      </c>
      <c r="D34" s="2" t="s">
        <v>74</v>
      </c>
      <c r="E34" s="2" t="s">
        <v>219</v>
      </c>
      <c r="F34" s="2">
        <v>3809</v>
      </c>
      <c r="G34" s="2">
        <v>273</v>
      </c>
      <c r="H34" s="2">
        <v>200</v>
      </c>
      <c r="I34" s="2">
        <v>34281</v>
      </c>
      <c r="J34" s="2">
        <v>33534</v>
      </c>
      <c r="K34" s="2">
        <v>83</v>
      </c>
      <c r="L34" s="2" t="s">
        <v>37</v>
      </c>
      <c r="M34" s="2" t="s">
        <v>19</v>
      </c>
      <c r="N34">
        <f t="shared" si="0"/>
        <v>4282</v>
      </c>
      <c r="P34" s="8" t="s">
        <v>164</v>
      </c>
      <c r="Q34">
        <v>2180</v>
      </c>
      <c r="R34">
        <v>443</v>
      </c>
      <c r="S34">
        <v>295</v>
      </c>
      <c r="T34">
        <v>2918</v>
      </c>
      <c r="V34" t="s">
        <v>375</v>
      </c>
      <c r="W34">
        <v>8470</v>
      </c>
      <c r="X34">
        <v>356</v>
      </c>
      <c r="Y34">
        <v>311</v>
      </c>
      <c r="Z34">
        <v>9137</v>
      </c>
    </row>
    <row r="35" spans="1:26" ht="15.75" customHeight="1" x14ac:dyDescent="0.3">
      <c r="A35" s="2" t="s">
        <v>380</v>
      </c>
      <c r="B35" s="2" t="s">
        <v>27</v>
      </c>
      <c r="C35" s="2" t="s">
        <v>362</v>
      </c>
      <c r="D35" s="2" t="s">
        <v>22</v>
      </c>
      <c r="E35" s="2" t="s">
        <v>104</v>
      </c>
      <c r="F35" s="2">
        <v>3711</v>
      </c>
      <c r="G35" s="2">
        <v>352</v>
      </c>
      <c r="H35" s="2">
        <v>290</v>
      </c>
      <c r="I35" s="2">
        <v>48243</v>
      </c>
      <c r="J35" s="2">
        <v>47579</v>
      </c>
      <c r="K35" s="2">
        <v>11</v>
      </c>
      <c r="L35" s="2" t="s">
        <v>30</v>
      </c>
      <c r="M35" s="2" t="s">
        <v>19</v>
      </c>
      <c r="N35">
        <f t="shared" si="0"/>
        <v>4353</v>
      </c>
      <c r="P35" s="8" t="s">
        <v>558</v>
      </c>
      <c r="Q35">
        <v>4731</v>
      </c>
      <c r="R35">
        <v>173</v>
      </c>
      <c r="S35">
        <v>276</v>
      </c>
      <c r="T35">
        <v>5180</v>
      </c>
      <c r="V35" t="s">
        <v>262</v>
      </c>
      <c r="W35">
        <v>4832</v>
      </c>
      <c r="X35">
        <v>893</v>
      </c>
      <c r="Y35">
        <v>10</v>
      </c>
      <c r="Z35">
        <v>5735</v>
      </c>
    </row>
    <row r="36" spans="1:26" ht="15.75" customHeight="1" x14ac:dyDescent="0.3">
      <c r="A36" s="2" t="s">
        <v>13</v>
      </c>
      <c r="B36" s="2" t="s">
        <v>14</v>
      </c>
      <c r="C36" s="2" t="s">
        <v>15</v>
      </c>
      <c r="D36" s="2" t="s">
        <v>16</v>
      </c>
      <c r="E36" s="2" t="s">
        <v>17</v>
      </c>
      <c r="F36" s="2">
        <v>1461</v>
      </c>
      <c r="G36" s="2">
        <v>184</v>
      </c>
      <c r="H36" s="2">
        <v>344</v>
      </c>
      <c r="I36" s="2">
        <v>21915</v>
      </c>
      <c r="J36" s="2">
        <v>21675</v>
      </c>
      <c r="K36" s="2">
        <v>15</v>
      </c>
      <c r="L36" s="2" t="s">
        <v>18</v>
      </c>
      <c r="M36" s="2" t="s">
        <v>19</v>
      </c>
      <c r="N36">
        <f t="shared" si="0"/>
        <v>1989</v>
      </c>
      <c r="P36" s="8" t="s">
        <v>375</v>
      </c>
      <c r="Q36">
        <v>8470</v>
      </c>
      <c r="R36">
        <v>356</v>
      </c>
      <c r="S36">
        <v>311</v>
      </c>
      <c r="T36">
        <v>9137</v>
      </c>
      <c r="V36" t="s">
        <v>172</v>
      </c>
      <c r="W36">
        <v>9821</v>
      </c>
      <c r="X36">
        <v>1346</v>
      </c>
      <c r="Y36">
        <v>914</v>
      </c>
      <c r="Z36">
        <v>12081</v>
      </c>
    </row>
    <row r="37" spans="1:26" ht="15.75" customHeight="1" x14ac:dyDescent="0.3">
      <c r="A37" s="2" t="s">
        <v>479</v>
      </c>
      <c r="B37" s="2" t="s">
        <v>43</v>
      </c>
      <c r="C37" s="2" t="s">
        <v>480</v>
      </c>
      <c r="D37" s="2" t="s">
        <v>16</v>
      </c>
      <c r="E37" s="2" t="s">
        <v>65</v>
      </c>
      <c r="F37" s="2">
        <v>4134</v>
      </c>
      <c r="G37" s="2">
        <v>824</v>
      </c>
      <c r="H37" s="2">
        <v>99</v>
      </c>
      <c r="I37" s="2">
        <v>41340</v>
      </c>
      <c r="J37" s="2">
        <v>41050</v>
      </c>
      <c r="K37" s="2">
        <v>177</v>
      </c>
      <c r="L37" s="2" t="s">
        <v>37</v>
      </c>
      <c r="M37" s="2" t="s">
        <v>19</v>
      </c>
      <c r="N37">
        <f t="shared" si="0"/>
        <v>5057</v>
      </c>
      <c r="P37" s="8" t="s">
        <v>262</v>
      </c>
      <c r="Q37">
        <v>4832</v>
      </c>
      <c r="R37">
        <v>893</v>
      </c>
      <c r="S37">
        <v>10</v>
      </c>
      <c r="T37">
        <v>5735</v>
      </c>
      <c r="V37" t="s">
        <v>84</v>
      </c>
      <c r="W37">
        <v>1071</v>
      </c>
      <c r="X37">
        <v>519</v>
      </c>
      <c r="Y37">
        <v>22</v>
      </c>
      <c r="Z37">
        <v>1612</v>
      </c>
    </row>
    <row r="38" spans="1:26" ht="15.75" customHeight="1" x14ac:dyDescent="0.3">
      <c r="A38" s="2" t="s">
        <v>413</v>
      </c>
      <c r="B38" s="2" t="s">
        <v>14</v>
      </c>
      <c r="C38" s="2" t="s">
        <v>414</v>
      </c>
      <c r="D38" s="2" t="s">
        <v>16</v>
      </c>
      <c r="E38" s="2" t="s">
        <v>17</v>
      </c>
      <c r="F38" s="2">
        <v>802</v>
      </c>
      <c r="G38" s="2">
        <v>262</v>
      </c>
      <c r="H38" s="2">
        <v>244</v>
      </c>
      <c r="I38" s="2">
        <v>14436</v>
      </c>
      <c r="J38" s="2">
        <v>14280</v>
      </c>
      <c r="K38" s="2">
        <v>49</v>
      </c>
      <c r="L38" s="2" t="s">
        <v>37</v>
      </c>
      <c r="M38" s="2" t="s">
        <v>19</v>
      </c>
      <c r="N38">
        <f t="shared" si="0"/>
        <v>1308</v>
      </c>
      <c r="P38" s="8" t="s">
        <v>172</v>
      </c>
      <c r="Q38">
        <v>9821</v>
      </c>
      <c r="R38">
        <v>1346</v>
      </c>
      <c r="S38">
        <v>914</v>
      </c>
      <c r="T38">
        <v>12081</v>
      </c>
      <c r="V38" t="s">
        <v>48</v>
      </c>
      <c r="W38">
        <v>7750</v>
      </c>
      <c r="X38">
        <v>798</v>
      </c>
      <c r="Y38">
        <v>1140</v>
      </c>
      <c r="Z38">
        <v>9688</v>
      </c>
    </row>
    <row r="39" spans="1:26" ht="15.75" customHeight="1" x14ac:dyDescent="0.3">
      <c r="A39" s="2" t="s">
        <v>502</v>
      </c>
      <c r="B39" s="2" t="s">
        <v>43</v>
      </c>
      <c r="C39" s="2" t="s">
        <v>249</v>
      </c>
      <c r="D39" s="2" t="s">
        <v>22</v>
      </c>
      <c r="E39" s="2" t="s">
        <v>56</v>
      </c>
      <c r="F39" s="2">
        <v>562</v>
      </c>
      <c r="G39" s="2">
        <v>158</v>
      </c>
      <c r="H39" s="2">
        <v>149</v>
      </c>
      <c r="I39" s="2">
        <v>3372</v>
      </c>
      <c r="J39" s="2">
        <v>2940</v>
      </c>
      <c r="K39" s="2">
        <v>93</v>
      </c>
      <c r="L39" s="2" t="s">
        <v>30</v>
      </c>
      <c r="M39" s="2" t="s">
        <v>19</v>
      </c>
      <c r="N39">
        <f t="shared" si="0"/>
        <v>869</v>
      </c>
      <c r="P39" s="8" t="s">
        <v>84</v>
      </c>
      <c r="Q39">
        <v>1071</v>
      </c>
      <c r="R39">
        <v>519</v>
      </c>
      <c r="S39">
        <v>22</v>
      </c>
      <c r="T39">
        <v>1612</v>
      </c>
      <c r="V39" t="s">
        <v>40</v>
      </c>
      <c r="W39">
        <v>3557</v>
      </c>
      <c r="X39">
        <v>687</v>
      </c>
      <c r="Y39">
        <v>424</v>
      </c>
      <c r="Z39">
        <v>4668</v>
      </c>
    </row>
    <row r="40" spans="1:26" ht="15.75" customHeight="1" x14ac:dyDescent="0.3">
      <c r="A40" s="2" t="s">
        <v>357</v>
      </c>
      <c r="B40" s="2" t="s">
        <v>14</v>
      </c>
      <c r="C40" s="2" t="s">
        <v>70</v>
      </c>
      <c r="D40" s="2" t="s">
        <v>16</v>
      </c>
      <c r="E40" s="2" t="s">
        <v>17</v>
      </c>
      <c r="F40" s="2">
        <v>1076</v>
      </c>
      <c r="G40" s="2">
        <v>313</v>
      </c>
      <c r="H40" s="2">
        <v>306</v>
      </c>
      <c r="I40" s="2">
        <v>11836</v>
      </c>
      <c r="J40" s="2">
        <v>11596</v>
      </c>
      <c r="K40" s="2">
        <v>104</v>
      </c>
      <c r="L40" s="2" t="s">
        <v>62</v>
      </c>
      <c r="M40" s="2" t="s">
        <v>19</v>
      </c>
      <c r="N40">
        <f t="shared" si="0"/>
        <v>1695</v>
      </c>
      <c r="P40" s="8" t="s">
        <v>48</v>
      </c>
      <c r="Q40">
        <v>7750</v>
      </c>
      <c r="R40">
        <v>798</v>
      </c>
      <c r="S40">
        <v>1140</v>
      </c>
      <c r="T40">
        <v>9688</v>
      </c>
      <c r="V40" t="s">
        <v>455</v>
      </c>
      <c r="W40">
        <v>4808</v>
      </c>
      <c r="X40">
        <v>772</v>
      </c>
      <c r="Y40">
        <v>320</v>
      </c>
      <c r="Z40">
        <v>5900</v>
      </c>
    </row>
    <row r="41" spans="1:26" ht="15.75" customHeight="1" x14ac:dyDescent="0.3">
      <c r="A41" s="2" t="s">
        <v>428</v>
      </c>
      <c r="B41" s="2" t="s">
        <v>27</v>
      </c>
      <c r="C41" s="2" t="s">
        <v>350</v>
      </c>
      <c r="D41" s="2" t="s">
        <v>52</v>
      </c>
      <c r="E41" s="2" t="s">
        <v>53</v>
      </c>
      <c r="F41" s="2">
        <v>257</v>
      </c>
      <c r="G41" s="2">
        <v>966</v>
      </c>
      <c r="H41" s="2">
        <v>398</v>
      </c>
      <c r="I41" s="2">
        <v>3341</v>
      </c>
      <c r="J41" s="2">
        <v>2753</v>
      </c>
      <c r="K41" s="2">
        <v>287</v>
      </c>
      <c r="L41" s="2" t="s">
        <v>62</v>
      </c>
      <c r="M41" s="2" t="s">
        <v>19</v>
      </c>
      <c r="N41">
        <f t="shared" si="0"/>
        <v>1621</v>
      </c>
      <c r="P41" s="8" t="s">
        <v>40</v>
      </c>
      <c r="Q41">
        <v>3557</v>
      </c>
      <c r="R41">
        <v>687</v>
      </c>
      <c r="S41">
        <v>424</v>
      </c>
      <c r="T41">
        <v>4668</v>
      </c>
      <c r="V41" t="s">
        <v>247</v>
      </c>
      <c r="W41">
        <v>4171</v>
      </c>
      <c r="X41">
        <v>548</v>
      </c>
      <c r="Y41">
        <v>86</v>
      </c>
      <c r="Z41">
        <v>4805</v>
      </c>
    </row>
    <row r="42" spans="1:26" ht="15.75" customHeight="1" x14ac:dyDescent="0.3">
      <c r="A42" s="2" t="s">
        <v>394</v>
      </c>
      <c r="B42" s="2" t="s">
        <v>43</v>
      </c>
      <c r="C42" s="2" t="s">
        <v>234</v>
      </c>
      <c r="D42" s="2" t="s">
        <v>16</v>
      </c>
      <c r="E42" s="2" t="s">
        <v>65</v>
      </c>
      <c r="F42" s="2">
        <v>3360</v>
      </c>
      <c r="G42" s="2">
        <v>525</v>
      </c>
      <c r="H42" s="2">
        <v>500</v>
      </c>
      <c r="I42" s="2">
        <v>60480</v>
      </c>
      <c r="J42" s="2">
        <v>59610</v>
      </c>
      <c r="K42" s="2">
        <v>192</v>
      </c>
      <c r="L42" s="2" t="s">
        <v>30</v>
      </c>
      <c r="M42" s="2" t="s">
        <v>19</v>
      </c>
      <c r="N42">
        <f t="shared" si="0"/>
        <v>4385</v>
      </c>
      <c r="P42" s="8" t="s">
        <v>455</v>
      </c>
      <c r="Q42">
        <v>4808</v>
      </c>
      <c r="R42">
        <v>772</v>
      </c>
      <c r="S42">
        <v>320</v>
      </c>
      <c r="T42">
        <v>5900</v>
      </c>
      <c r="V42" t="s">
        <v>153</v>
      </c>
      <c r="W42">
        <v>7553</v>
      </c>
      <c r="X42">
        <v>824</v>
      </c>
      <c r="Y42">
        <v>379</v>
      </c>
      <c r="Z42">
        <v>8756</v>
      </c>
    </row>
    <row r="43" spans="1:26" ht="15.75" customHeight="1" x14ac:dyDescent="0.3">
      <c r="A43" s="2" t="s">
        <v>290</v>
      </c>
      <c r="B43" s="2" t="s">
        <v>27</v>
      </c>
      <c r="C43" s="2" t="s">
        <v>291</v>
      </c>
      <c r="D43" s="2" t="s">
        <v>45</v>
      </c>
      <c r="E43" s="2" t="s">
        <v>68</v>
      </c>
      <c r="F43" s="2">
        <v>736</v>
      </c>
      <c r="G43" s="2">
        <v>771</v>
      </c>
      <c r="H43" s="2">
        <v>225</v>
      </c>
      <c r="I43" s="2">
        <v>5152</v>
      </c>
      <c r="J43" s="2">
        <v>4706</v>
      </c>
      <c r="K43" s="2">
        <v>19</v>
      </c>
      <c r="L43" s="2" t="s">
        <v>37</v>
      </c>
      <c r="M43" s="2" t="s">
        <v>19</v>
      </c>
      <c r="N43">
        <f t="shared" si="0"/>
        <v>1732</v>
      </c>
      <c r="P43" s="8" t="s">
        <v>247</v>
      </c>
      <c r="Q43">
        <v>4171</v>
      </c>
      <c r="R43">
        <v>548</v>
      </c>
      <c r="S43">
        <v>86</v>
      </c>
      <c r="T43">
        <v>4805</v>
      </c>
      <c r="V43" t="s">
        <v>228</v>
      </c>
      <c r="W43">
        <v>5069</v>
      </c>
      <c r="X43">
        <v>237</v>
      </c>
      <c r="Y43">
        <v>770</v>
      </c>
      <c r="Z43">
        <v>6076</v>
      </c>
    </row>
    <row r="44" spans="1:26" ht="15.75" customHeight="1" x14ac:dyDescent="0.3">
      <c r="A44" s="2" t="s">
        <v>531</v>
      </c>
      <c r="B44" s="2" t="s">
        <v>43</v>
      </c>
      <c r="C44" s="2" t="s">
        <v>291</v>
      </c>
      <c r="D44" s="2" t="s">
        <v>52</v>
      </c>
      <c r="E44" s="2" t="s">
        <v>59</v>
      </c>
      <c r="F44" s="2">
        <v>4236</v>
      </c>
      <c r="G44" s="2">
        <v>711</v>
      </c>
      <c r="H44" s="2">
        <v>298</v>
      </c>
      <c r="I44" s="2">
        <v>21180</v>
      </c>
      <c r="J44" s="2">
        <v>20516</v>
      </c>
      <c r="K44" s="2">
        <v>238</v>
      </c>
      <c r="L44" s="2" t="s">
        <v>62</v>
      </c>
      <c r="M44" s="2" t="s">
        <v>19</v>
      </c>
      <c r="N44">
        <f t="shared" si="0"/>
        <v>5245</v>
      </c>
      <c r="P44" s="8" t="s">
        <v>153</v>
      </c>
      <c r="Q44">
        <v>7553</v>
      </c>
      <c r="R44">
        <v>824</v>
      </c>
      <c r="S44">
        <v>379</v>
      </c>
      <c r="T44">
        <v>8756</v>
      </c>
      <c r="V44" t="s">
        <v>377</v>
      </c>
      <c r="W44">
        <v>3099</v>
      </c>
      <c r="X44">
        <v>694</v>
      </c>
      <c r="Y44">
        <v>171</v>
      </c>
      <c r="Z44">
        <v>3964</v>
      </c>
    </row>
    <row r="45" spans="1:26" ht="15.75" customHeight="1" x14ac:dyDescent="0.3">
      <c r="A45" s="2" t="s">
        <v>517</v>
      </c>
      <c r="B45" s="2" t="s">
        <v>33</v>
      </c>
      <c r="C45" s="2" t="s">
        <v>518</v>
      </c>
      <c r="D45" s="2" t="s">
        <v>16</v>
      </c>
      <c r="E45" s="2" t="s">
        <v>82</v>
      </c>
      <c r="F45" s="2">
        <v>4579</v>
      </c>
      <c r="G45" s="2">
        <v>125</v>
      </c>
      <c r="H45" s="2">
        <v>300</v>
      </c>
      <c r="I45" s="2">
        <v>59527</v>
      </c>
      <c r="J45" s="2">
        <v>59400</v>
      </c>
      <c r="K45" s="2">
        <v>269</v>
      </c>
      <c r="L45" s="2" t="s">
        <v>37</v>
      </c>
      <c r="M45" s="2" t="s">
        <v>19</v>
      </c>
      <c r="N45">
        <f t="shared" si="0"/>
        <v>5004</v>
      </c>
      <c r="P45" s="8" t="s">
        <v>228</v>
      </c>
      <c r="Q45">
        <v>5069</v>
      </c>
      <c r="R45">
        <v>237</v>
      </c>
      <c r="S45">
        <v>770</v>
      </c>
      <c r="T45">
        <v>6076</v>
      </c>
      <c r="V45" t="s">
        <v>309</v>
      </c>
      <c r="W45">
        <v>3134</v>
      </c>
      <c r="X45">
        <v>888</v>
      </c>
      <c r="Y45">
        <v>444</v>
      </c>
      <c r="Z45">
        <v>4466</v>
      </c>
    </row>
    <row r="46" spans="1:26" ht="15.75" customHeight="1" x14ac:dyDescent="0.3">
      <c r="A46" s="2" t="s">
        <v>222</v>
      </c>
      <c r="B46" s="2" t="s">
        <v>33</v>
      </c>
      <c r="C46" s="2" t="s">
        <v>123</v>
      </c>
      <c r="D46" s="2" t="s">
        <v>52</v>
      </c>
      <c r="E46" s="2" t="s">
        <v>215</v>
      </c>
      <c r="F46" s="2">
        <v>4177</v>
      </c>
      <c r="G46" s="2">
        <v>569</v>
      </c>
      <c r="H46" s="2">
        <v>55</v>
      </c>
      <c r="I46" s="2">
        <v>25062</v>
      </c>
      <c r="J46" s="2">
        <v>24847</v>
      </c>
      <c r="K46" s="2">
        <v>230</v>
      </c>
      <c r="L46" s="2" t="s">
        <v>62</v>
      </c>
      <c r="M46" s="2" t="s">
        <v>19</v>
      </c>
      <c r="N46">
        <f t="shared" si="0"/>
        <v>4801</v>
      </c>
      <c r="P46" s="8" t="s">
        <v>377</v>
      </c>
      <c r="Q46">
        <v>3099</v>
      </c>
      <c r="R46">
        <v>694</v>
      </c>
      <c r="S46">
        <v>171</v>
      </c>
      <c r="T46">
        <v>3964</v>
      </c>
      <c r="V46" t="s">
        <v>51</v>
      </c>
      <c r="W46">
        <v>3929</v>
      </c>
      <c r="X46">
        <v>262</v>
      </c>
      <c r="Y46">
        <v>278</v>
      </c>
      <c r="Z46">
        <v>4469</v>
      </c>
    </row>
    <row r="47" spans="1:26" ht="15.75" customHeight="1" x14ac:dyDescent="0.3">
      <c r="A47" s="2" t="s">
        <v>304</v>
      </c>
      <c r="B47" s="2" t="s">
        <v>14</v>
      </c>
      <c r="C47" s="2" t="s">
        <v>305</v>
      </c>
      <c r="D47" s="2" t="s">
        <v>16</v>
      </c>
      <c r="E47" s="2" t="s">
        <v>17</v>
      </c>
      <c r="F47" s="2">
        <v>3731</v>
      </c>
      <c r="G47" s="2">
        <v>115</v>
      </c>
      <c r="H47" s="2">
        <v>135</v>
      </c>
      <c r="I47" s="2">
        <v>55965</v>
      </c>
      <c r="J47" s="2">
        <v>55436</v>
      </c>
      <c r="K47" s="2">
        <v>103</v>
      </c>
      <c r="L47" s="2" t="s">
        <v>30</v>
      </c>
      <c r="M47" s="2" t="s">
        <v>19</v>
      </c>
      <c r="N47">
        <f t="shared" si="0"/>
        <v>3981</v>
      </c>
      <c r="P47" s="8" t="s">
        <v>309</v>
      </c>
      <c r="Q47">
        <v>3134</v>
      </c>
      <c r="R47">
        <v>888</v>
      </c>
      <c r="S47">
        <v>444</v>
      </c>
      <c r="T47">
        <v>4466</v>
      </c>
      <c r="V47" t="s">
        <v>315</v>
      </c>
      <c r="W47">
        <v>9750</v>
      </c>
      <c r="X47">
        <v>762</v>
      </c>
      <c r="Y47">
        <v>1175</v>
      </c>
      <c r="Z47">
        <v>11687</v>
      </c>
    </row>
    <row r="48" spans="1:26" ht="15.75" customHeight="1" x14ac:dyDescent="0.3">
      <c r="A48" s="2" t="s">
        <v>458</v>
      </c>
      <c r="B48" s="2" t="s">
        <v>33</v>
      </c>
      <c r="C48" s="2" t="s">
        <v>433</v>
      </c>
      <c r="D48" s="2" t="s">
        <v>22</v>
      </c>
      <c r="E48" s="2" t="s">
        <v>113</v>
      </c>
      <c r="F48" s="2">
        <v>1430</v>
      </c>
      <c r="G48" s="2">
        <v>376</v>
      </c>
      <c r="H48" s="2">
        <v>33</v>
      </c>
      <c r="I48" s="2">
        <v>21450</v>
      </c>
      <c r="J48" s="2">
        <v>20509</v>
      </c>
      <c r="K48" s="2">
        <v>251</v>
      </c>
      <c r="L48" s="2" t="s">
        <v>62</v>
      </c>
      <c r="M48" s="2" t="s">
        <v>19</v>
      </c>
      <c r="N48">
        <f t="shared" si="0"/>
        <v>1839</v>
      </c>
      <c r="P48" s="8" t="s">
        <v>51</v>
      </c>
      <c r="Q48">
        <v>3929</v>
      </c>
      <c r="R48">
        <v>262</v>
      </c>
      <c r="S48">
        <v>278</v>
      </c>
      <c r="T48">
        <v>4469</v>
      </c>
      <c r="V48" t="s">
        <v>469</v>
      </c>
      <c r="W48">
        <v>4725</v>
      </c>
      <c r="X48">
        <v>400</v>
      </c>
      <c r="Y48">
        <v>362</v>
      </c>
      <c r="Z48">
        <v>5487</v>
      </c>
    </row>
    <row r="49" spans="1:26" ht="15.75" customHeight="1" x14ac:dyDescent="0.3">
      <c r="A49" s="2" t="s">
        <v>555</v>
      </c>
      <c r="B49" s="2" t="s">
        <v>43</v>
      </c>
      <c r="C49" s="2" t="s">
        <v>556</v>
      </c>
      <c r="D49" s="2" t="s">
        <v>22</v>
      </c>
      <c r="E49" s="2" t="s">
        <v>56</v>
      </c>
      <c r="F49" s="2">
        <v>2634</v>
      </c>
      <c r="G49" s="2">
        <v>726</v>
      </c>
      <c r="H49" s="2">
        <v>241</v>
      </c>
      <c r="I49" s="2">
        <v>28974</v>
      </c>
      <c r="J49" s="2">
        <v>28102</v>
      </c>
      <c r="K49" s="2">
        <v>277</v>
      </c>
      <c r="L49" s="2" t="s">
        <v>37</v>
      </c>
      <c r="M49" s="2" t="s">
        <v>19</v>
      </c>
      <c r="N49">
        <f t="shared" si="0"/>
        <v>3601</v>
      </c>
      <c r="P49" s="8" t="s">
        <v>315</v>
      </c>
      <c r="Q49">
        <v>9750</v>
      </c>
      <c r="R49">
        <v>762</v>
      </c>
      <c r="S49">
        <v>1175</v>
      </c>
      <c r="T49">
        <v>11687</v>
      </c>
      <c r="V49" t="s">
        <v>430</v>
      </c>
      <c r="W49">
        <v>6968</v>
      </c>
      <c r="X49">
        <v>909</v>
      </c>
      <c r="Y49">
        <v>691</v>
      </c>
      <c r="Z49">
        <v>8568</v>
      </c>
    </row>
    <row r="50" spans="1:26" ht="15.75" customHeight="1" x14ac:dyDescent="0.3">
      <c r="A50" s="2" t="s">
        <v>26</v>
      </c>
      <c r="B50" s="2" t="s">
        <v>27</v>
      </c>
      <c r="C50" s="2" t="s">
        <v>28</v>
      </c>
      <c r="D50" s="2" t="s">
        <v>16</v>
      </c>
      <c r="E50" s="2" t="s">
        <v>29</v>
      </c>
      <c r="F50" s="2">
        <v>2795</v>
      </c>
      <c r="G50" s="2">
        <v>105</v>
      </c>
      <c r="H50" s="2">
        <v>49</v>
      </c>
      <c r="I50" s="2">
        <v>53105</v>
      </c>
      <c r="J50" s="2">
        <v>52307</v>
      </c>
      <c r="K50" s="2">
        <v>204</v>
      </c>
      <c r="L50" s="2" t="s">
        <v>30</v>
      </c>
      <c r="M50" s="2" t="s">
        <v>31</v>
      </c>
      <c r="N50">
        <f t="shared" si="0"/>
        <v>2949</v>
      </c>
      <c r="P50" s="8" t="s">
        <v>469</v>
      </c>
      <c r="Q50">
        <v>4725</v>
      </c>
      <c r="R50">
        <v>400</v>
      </c>
      <c r="S50">
        <v>362</v>
      </c>
      <c r="T50">
        <v>5487</v>
      </c>
      <c r="V50" t="s">
        <v>64</v>
      </c>
      <c r="W50">
        <v>4093</v>
      </c>
      <c r="X50">
        <v>1116</v>
      </c>
      <c r="Y50">
        <v>770</v>
      </c>
      <c r="Z50">
        <v>5979</v>
      </c>
    </row>
    <row r="51" spans="1:26" ht="15.75" customHeight="1" x14ac:dyDescent="0.3">
      <c r="A51" s="2" t="s">
        <v>63</v>
      </c>
      <c r="B51" s="2" t="s">
        <v>43</v>
      </c>
      <c r="C51" s="2" t="s">
        <v>64</v>
      </c>
      <c r="D51" s="2" t="s">
        <v>16</v>
      </c>
      <c r="E51" s="2" t="s">
        <v>65</v>
      </c>
      <c r="F51" s="2">
        <v>1946</v>
      </c>
      <c r="G51" s="2">
        <v>686</v>
      </c>
      <c r="H51" s="2">
        <v>377</v>
      </c>
      <c r="I51" s="2">
        <v>23352</v>
      </c>
      <c r="J51" s="2">
        <v>22982</v>
      </c>
      <c r="K51" s="2">
        <v>213</v>
      </c>
      <c r="L51" s="2" t="s">
        <v>62</v>
      </c>
      <c r="M51" s="2" t="s">
        <v>31</v>
      </c>
      <c r="N51">
        <f t="shared" si="0"/>
        <v>3009</v>
      </c>
      <c r="P51" s="8" t="s">
        <v>430</v>
      </c>
      <c r="Q51">
        <v>6968</v>
      </c>
      <c r="R51">
        <v>909</v>
      </c>
      <c r="S51">
        <v>691</v>
      </c>
      <c r="T51">
        <v>8568</v>
      </c>
      <c r="V51" t="s">
        <v>343</v>
      </c>
      <c r="W51">
        <v>4775</v>
      </c>
      <c r="X51">
        <v>173</v>
      </c>
      <c r="Y51">
        <v>206</v>
      </c>
      <c r="Z51">
        <v>5154</v>
      </c>
    </row>
    <row r="52" spans="1:26" ht="15.75" customHeight="1" x14ac:dyDescent="0.3">
      <c r="A52" s="2" t="s">
        <v>76</v>
      </c>
      <c r="B52" s="2" t="s">
        <v>43</v>
      </c>
      <c r="C52" s="2" t="s">
        <v>77</v>
      </c>
      <c r="D52" s="2" t="s">
        <v>22</v>
      </c>
      <c r="E52" s="2" t="s">
        <v>56</v>
      </c>
      <c r="F52" s="2">
        <v>3452</v>
      </c>
      <c r="G52" s="2">
        <v>377</v>
      </c>
      <c r="H52" s="2">
        <v>360</v>
      </c>
      <c r="I52" s="2">
        <v>55232</v>
      </c>
      <c r="J52" s="2">
        <v>55075</v>
      </c>
      <c r="K52" s="2">
        <v>87</v>
      </c>
      <c r="L52" s="2" t="s">
        <v>62</v>
      </c>
      <c r="M52" s="2" t="s">
        <v>31</v>
      </c>
      <c r="N52">
        <f t="shared" si="0"/>
        <v>4189</v>
      </c>
      <c r="P52" s="8" t="s">
        <v>64</v>
      </c>
      <c r="Q52">
        <v>4093</v>
      </c>
      <c r="R52">
        <v>1116</v>
      </c>
      <c r="S52">
        <v>770</v>
      </c>
      <c r="T52">
        <v>5979</v>
      </c>
      <c r="V52" t="s">
        <v>214</v>
      </c>
      <c r="W52">
        <v>725</v>
      </c>
      <c r="X52">
        <v>88</v>
      </c>
      <c r="Y52">
        <v>428</v>
      </c>
      <c r="Z52">
        <v>1241</v>
      </c>
    </row>
    <row r="53" spans="1:26" ht="15.75" customHeight="1" x14ac:dyDescent="0.3">
      <c r="A53" s="2" t="s">
        <v>96</v>
      </c>
      <c r="B53" s="2" t="s">
        <v>43</v>
      </c>
      <c r="C53" s="2" t="s">
        <v>97</v>
      </c>
      <c r="D53" s="2" t="s">
        <v>74</v>
      </c>
      <c r="E53" s="2" t="s">
        <v>75</v>
      </c>
      <c r="F53" s="2">
        <v>3961</v>
      </c>
      <c r="G53" s="2">
        <v>761</v>
      </c>
      <c r="H53" s="2">
        <v>131</v>
      </c>
      <c r="I53" s="2">
        <v>67337</v>
      </c>
      <c r="J53" s="2">
        <v>66615</v>
      </c>
      <c r="K53" s="2">
        <v>161</v>
      </c>
      <c r="L53" s="2" t="s">
        <v>62</v>
      </c>
      <c r="M53" s="2" t="s">
        <v>31</v>
      </c>
      <c r="N53">
        <f t="shared" si="0"/>
        <v>4853</v>
      </c>
      <c r="P53" s="8" t="s">
        <v>343</v>
      </c>
      <c r="Q53">
        <v>4775</v>
      </c>
      <c r="R53">
        <v>173</v>
      </c>
      <c r="S53">
        <v>206</v>
      </c>
      <c r="T53">
        <v>5154</v>
      </c>
      <c r="V53" t="s">
        <v>186</v>
      </c>
      <c r="W53">
        <v>3991</v>
      </c>
      <c r="X53">
        <v>230</v>
      </c>
      <c r="Y53">
        <v>569</v>
      </c>
      <c r="Z53">
        <v>4790</v>
      </c>
    </row>
    <row r="54" spans="1:26" ht="15.75" customHeight="1" x14ac:dyDescent="0.3">
      <c r="A54" s="2" t="s">
        <v>107</v>
      </c>
      <c r="B54" s="2" t="s">
        <v>33</v>
      </c>
      <c r="C54" s="2" t="s">
        <v>108</v>
      </c>
      <c r="D54" s="2" t="s">
        <v>45</v>
      </c>
      <c r="E54" s="2" t="s">
        <v>88</v>
      </c>
      <c r="F54" s="2">
        <v>2566</v>
      </c>
      <c r="G54" s="2">
        <v>118</v>
      </c>
      <c r="H54" s="2">
        <v>37</v>
      </c>
      <c r="I54" s="2">
        <v>12830</v>
      </c>
      <c r="J54" s="2">
        <v>12264</v>
      </c>
      <c r="K54" s="2">
        <v>221</v>
      </c>
      <c r="L54" s="2" t="s">
        <v>62</v>
      </c>
      <c r="M54" s="2" t="s">
        <v>31</v>
      </c>
      <c r="N54">
        <f t="shared" si="0"/>
        <v>2721</v>
      </c>
      <c r="P54" s="8" t="s">
        <v>214</v>
      </c>
      <c r="Q54">
        <v>725</v>
      </c>
      <c r="R54">
        <v>88</v>
      </c>
      <c r="S54">
        <v>428</v>
      </c>
      <c r="T54">
        <v>1241</v>
      </c>
      <c r="V54" t="s">
        <v>387</v>
      </c>
      <c r="W54">
        <v>3215</v>
      </c>
      <c r="X54">
        <v>960</v>
      </c>
      <c r="Y54">
        <v>202</v>
      </c>
      <c r="Z54">
        <v>4377</v>
      </c>
    </row>
    <row r="55" spans="1:26" ht="15.75" customHeight="1" x14ac:dyDescent="0.3">
      <c r="A55" s="2" t="s">
        <v>118</v>
      </c>
      <c r="B55" s="2" t="s">
        <v>43</v>
      </c>
      <c r="C55" s="2" t="s">
        <v>119</v>
      </c>
      <c r="D55" s="2" t="s">
        <v>22</v>
      </c>
      <c r="E55" s="2" t="s">
        <v>56</v>
      </c>
      <c r="F55" s="2">
        <v>1652</v>
      </c>
      <c r="G55" s="2">
        <v>89</v>
      </c>
      <c r="H55" s="2">
        <v>357</v>
      </c>
      <c r="I55" s="2">
        <v>29736</v>
      </c>
      <c r="J55" s="2">
        <v>28771</v>
      </c>
      <c r="K55" s="2">
        <v>215</v>
      </c>
      <c r="L55" s="2" t="s">
        <v>30</v>
      </c>
      <c r="M55" s="2" t="s">
        <v>31</v>
      </c>
      <c r="N55">
        <f t="shared" si="0"/>
        <v>2098</v>
      </c>
      <c r="P55" s="8" t="s">
        <v>186</v>
      </c>
      <c r="Q55">
        <v>3991</v>
      </c>
      <c r="R55">
        <v>230</v>
      </c>
      <c r="S55">
        <v>569</v>
      </c>
      <c r="T55">
        <v>4790</v>
      </c>
      <c r="V55" t="s">
        <v>268</v>
      </c>
      <c r="W55">
        <v>5530</v>
      </c>
      <c r="X55">
        <v>1542</v>
      </c>
      <c r="Y55">
        <v>1057</v>
      </c>
      <c r="Z55">
        <v>8129</v>
      </c>
    </row>
    <row r="56" spans="1:26" ht="15.75" customHeight="1" x14ac:dyDescent="0.3">
      <c r="A56" s="2" t="s">
        <v>137</v>
      </c>
      <c r="B56" s="2" t="s">
        <v>33</v>
      </c>
      <c r="C56" s="2" t="s">
        <v>138</v>
      </c>
      <c r="D56" s="2" t="s">
        <v>45</v>
      </c>
      <c r="E56" s="2" t="s">
        <v>88</v>
      </c>
      <c r="F56" s="2">
        <v>2174</v>
      </c>
      <c r="G56" s="2">
        <v>658</v>
      </c>
      <c r="H56" s="2">
        <v>15</v>
      </c>
      <c r="I56" s="2">
        <v>13044</v>
      </c>
      <c r="J56" s="2">
        <v>12206</v>
      </c>
      <c r="K56" s="2">
        <v>137</v>
      </c>
      <c r="L56" s="2" t="s">
        <v>30</v>
      </c>
      <c r="M56" s="2" t="s">
        <v>31</v>
      </c>
      <c r="N56">
        <f t="shared" si="0"/>
        <v>2847</v>
      </c>
      <c r="P56" s="8" t="s">
        <v>387</v>
      </c>
      <c r="Q56">
        <v>3215</v>
      </c>
      <c r="R56">
        <v>960</v>
      </c>
      <c r="S56">
        <v>202</v>
      </c>
      <c r="T56">
        <v>4377</v>
      </c>
      <c r="V56" t="s">
        <v>115</v>
      </c>
      <c r="W56">
        <v>14482</v>
      </c>
      <c r="X56">
        <v>455</v>
      </c>
      <c r="Y56">
        <v>774</v>
      </c>
      <c r="Z56">
        <v>15711</v>
      </c>
    </row>
    <row r="57" spans="1:26" ht="15.75" customHeight="1" x14ac:dyDescent="0.3">
      <c r="A57" s="2" t="s">
        <v>152</v>
      </c>
      <c r="B57" s="2" t="s">
        <v>27</v>
      </c>
      <c r="C57" s="2" t="s">
        <v>153</v>
      </c>
      <c r="D57" s="2" t="s">
        <v>35</v>
      </c>
      <c r="E57" s="2" t="s">
        <v>154</v>
      </c>
      <c r="F57" s="2">
        <v>2754</v>
      </c>
      <c r="G57" s="2">
        <v>130</v>
      </c>
      <c r="H57" s="2">
        <v>90</v>
      </c>
      <c r="I57" s="2">
        <v>22032</v>
      </c>
      <c r="J57" s="2">
        <v>21288</v>
      </c>
      <c r="K57" s="2">
        <v>112</v>
      </c>
      <c r="L57" s="2" t="s">
        <v>30</v>
      </c>
      <c r="M57" s="2" t="s">
        <v>31</v>
      </c>
      <c r="N57">
        <f t="shared" si="0"/>
        <v>2974</v>
      </c>
      <c r="P57" s="8" t="s">
        <v>268</v>
      </c>
      <c r="Q57">
        <v>5530</v>
      </c>
      <c r="R57">
        <v>1542</v>
      </c>
      <c r="S57">
        <v>1057</v>
      </c>
      <c r="T57">
        <v>8129</v>
      </c>
      <c r="V57" t="s">
        <v>203</v>
      </c>
      <c r="W57">
        <v>1674</v>
      </c>
      <c r="X57">
        <v>929</v>
      </c>
      <c r="Y57">
        <v>37</v>
      </c>
      <c r="Z57">
        <v>2640</v>
      </c>
    </row>
    <row r="58" spans="1:26" ht="15.75" customHeight="1" x14ac:dyDescent="0.3">
      <c r="A58" s="2" t="s">
        <v>165</v>
      </c>
      <c r="B58" s="2" t="s">
        <v>43</v>
      </c>
      <c r="C58" s="2" t="s">
        <v>166</v>
      </c>
      <c r="D58" s="2" t="s">
        <v>45</v>
      </c>
      <c r="E58" s="2" t="s">
        <v>46</v>
      </c>
      <c r="F58" s="2">
        <v>2946</v>
      </c>
      <c r="G58" s="2">
        <v>498</v>
      </c>
      <c r="H58" s="2">
        <v>367</v>
      </c>
      <c r="I58" s="2">
        <v>29460</v>
      </c>
      <c r="J58" s="2">
        <v>28527</v>
      </c>
      <c r="K58" s="2">
        <v>60</v>
      </c>
      <c r="L58" s="2" t="s">
        <v>62</v>
      </c>
      <c r="M58" s="2" t="s">
        <v>31</v>
      </c>
      <c r="N58">
        <f t="shared" si="0"/>
        <v>3811</v>
      </c>
      <c r="P58" s="8" t="s">
        <v>115</v>
      </c>
      <c r="Q58">
        <v>14482</v>
      </c>
      <c r="R58">
        <v>455</v>
      </c>
      <c r="S58">
        <v>774</v>
      </c>
      <c r="T58">
        <v>15711</v>
      </c>
      <c r="V58" t="s">
        <v>493</v>
      </c>
      <c r="W58">
        <v>3791</v>
      </c>
      <c r="X58">
        <v>593</v>
      </c>
      <c r="Y58">
        <v>228</v>
      </c>
      <c r="Z58">
        <v>4612</v>
      </c>
    </row>
    <row r="59" spans="1:26" ht="15.75" customHeight="1" x14ac:dyDescent="0.3">
      <c r="A59" s="2" t="s">
        <v>173</v>
      </c>
      <c r="B59" s="2" t="s">
        <v>33</v>
      </c>
      <c r="C59" s="2" t="s">
        <v>174</v>
      </c>
      <c r="D59" s="2" t="s">
        <v>74</v>
      </c>
      <c r="E59" s="2" t="s">
        <v>85</v>
      </c>
      <c r="F59" s="2">
        <v>904</v>
      </c>
      <c r="G59" s="2">
        <v>973</v>
      </c>
      <c r="H59" s="2">
        <v>63</v>
      </c>
      <c r="I59" s="2">
        <v>11752</v>
      </c>
      <c r="J59" s="2">
        <v>11580</v>
      </c>
      <c r="K59" s="2">
        <v>84</v>
      </c>
      <c r="L59" s="2" t="s">
        <v>175</v>
      </c>
      <c r="M59" s="2" t="s">
        <v>31</v>
      </c>
      <c r="N59">
        <f t="shared" si="0"/>
        <v>1940</v>
      </c>
      <c r="P59" s="8" t="s">
        <v>203</v>
      </c>
      <c r="Q59">
        <v>1674</v>
      </c>
      <c r="R59">
        <v>929</v>
      </c>
      <c r="S59">
        <v>37</v>
      </c>
      <c r="T59">
        <v>2640</v>
      </c>
      <c r="V59" t="s">
        <v>501</v>
      </c>
      <c r="W59">
        <v>5342</v>
      </c>
      <c r="X59">
        <v>1526</v>
      </c>
      <c r="Y59">
        <v>420</v>
      </c>
      <c r="Z59">
        <v>7288</v>
      </c>
    </row>
    <row r="60" spans="1:26" ht="15.75" customHeight="1" x14ac:dyDescent="0.3">
      <c r="A60" s="2" t="s">
        <v>178</v>
      </c>
      <c r="B60" s="2" t="s">
        <v>14</v>
      </c>
      <c r="C60" s="2" t="s">
        <v>179</v>
      </c>
      <c r="D60" s="2" t="s">
        <v>45</v>
      </c>
      <c r="E60" s="2" t="s">
        <v>49</v>
      </c>
      <c r="F60" s="2">
        <v>53</v>
      </c>
      <c r="G60" s="2">
        <v>81</v>
      </c>
      <c r="H60" s="2">
        <v>379</v>
      </c>
      <c r="I60" s="2">
        <v>954</v>
      </c>
      <c r="J60" s="2">
        <v>7</v>
      </c>
      <c r="K60" s="2">
        <v>148</v>
      </c>
      <c r="L60" s="2" t="s">
        <v>30</v>
      </c>
      <c r="M60" s="2" t="s">
        <v>31</v>
      </c>
      <c r="N60">
        <f t="shared" si="0"/>
        <v>513</v>
      </c>
      <c r="P60" s="8" t="s">
        <v>493</v>
      </c>
      <c r="Q60">
        <v>3791</v>
      </c>
      <c r="R60">
        <v>593</v>
      </c>
      <c r="S60">
        <v>228</v>
      </c>
      <c r="T60">
        <v>4612</v>
      </c>
      <c r="V60" t="s">
        <v>451</v>
      </c>
      <c r="W60">
        <v>1741</v>
      </c>
      <c r="X60">
        <v>164</v>
      </c>
      <c r="Y60">
        <v>318</v>
      </c>
      <c r="Z60">
        <v>2223</v>
      </c>
    </row>
    <row r="61" spans="1:26" ht="15.75" customHeight="1" x14ac:dyDescent="0.3">
      <c r="A61" s="2" t="s">
        <v>180</v>
      </c>
      <c r="B61" s="2" t="s">
        <v>14</v>
      </c>
      <c r="C61" s="2" t="s">
        <v>115</v>
      </c>
      <c r="D61" s="2" t="s">
        <v>45</v>
      </c>
      <c r="E61" s="2" t="s">
        <v>49</v>
      </c>
      <c r="F61" s="2">
        <v>4507</v>
      </c>
      <c r="G61" s="2">
        <v>217</v>
      </c>
      <c r="H61" s="2">
        <v>13</v>
      </c>
      <c r="I61" s="2">
        <v>90140</v>
      </c>
      <c r="J61" s="2">
        <v>89591</v>
      </c>
      <c r="K61" s="2">
        <v>125</v>
      </c>
      <c r="L61" s="2" t="s">
        <v>62</v>
      </c>
      <c r="M61" s="2" t="s">
        <v>31</v>
      </c>
      <c r="N61">
        <f t="shared" si="0"/>
        <v>4737</v>
      </c>
      <c r="P61" s="8" t="s">
        <v>501</v>
      </c>
      <c r="Q61">
        <v>5342</v>
      </c>
      <c r="R61">
        <v>1526</v>
      </c>
      <c r="S61">
        <v>420</v>
      </c>
      <c r="T61">
        <v>7288</v>
      </c>
      <c r="V61" t="s">
        <v>266</v>
      </c>
      <c r="W61">
        <v>3649</v>
      </c>
      <c r="X61">
        <v>215</v>
      </c>
      <c r="Y61">
        <v>413</v>
      </c>
      <c r="Z61">
        <v>4277</v>
      </c>
    </row>
    <row r="62" spans="1:26" ht="15.75" customHeight="1" x14ac:dyDescent="0.3">
      <c r="A62" s="2" t="s">
        <v>181</v>
      </c>
      <c r="B62" s="2" t="s">
        <v>43</v>
      </c>
      <c r="C62" s="2" t="s">
        <v>182</v>
      </c>
      <c r="D62" s="2" t="s">
        <v>52</v>
      </c>
      <c r="E62" s="2" t="s">
        <v>59</v>
      </c>
      <c r="F62" s="2">
        <v>2878</v>
      </c>
      <c r="G62" s="2">
        <v>248</v>
      </c>
      <c r="H62" s="2">
        <v>416</v>
      </c>
      <c r="I62" s="2">
        <v>43170</v>
      </c>
      <c r="J62" s="2">
        <v>42667</v>
      </c>
      <c r="K62" s="2">
        <v>75</v>
      </c>
      <c r="L62" s="2" t="s">
        <v>62</v>
      </c>
      <c r="M62" s="2" t="s">
        <v>31</v>
      </c>
      <c r="N62">
        <f t="shared" si="0"/>
        <v>3542</v>
      </c>
      <c r="P62" s="8" t="s">
        <v>451</v>
      </c>
      <c r="Q62">
        <v>1741</v>
      </c>
      <c r="R62">
        <v>164</v>
      </c>
      <c r="S62">
        <v>318</v>
      </c>
      <c r="T62">
        <v>2223</v>
      </c>
      <c r="V62" t="s">
        <v>345</v>
      </c>
      <c r="W62">
        <v>1762</v>
      </c>
      <c r="X62">
        <v>405</v>
      </c>
      <c r="Y62">
        <v>423</v>
      </c>
      <c r="Z62">
        <v>2590</v>
      </c>
    </row>
    <row r="63" spans="1:26" ht="15.75" customHeight="1" x14ac:dyDescent="0.3">
      <c r="A63" s="2" t="s">
        <v>187</v>
      </c>
      <c r="B63" s="2" t="s">
        <v>43</v>
      </c>
      <c r="C63" s="2" t="s">
        <v>188</v>
      </c>
      <c r="D63" s="2" t="s">
        <v>45</v>
      </c>
      <c r="E63" s="2" t="s">
        <v>46</v>
      </c>
      <c r="F63" s="2">
        <v>4712</v>
      </c>
      <c r="G63" s="2">
        <v>568</v>
      </c>
      <c r="H63" s="2">
        <v>127</v>
      </c>
      <c r="I63" s="2">
        <v>84816</v>
      </c>
      <c r="J63" s="2">
        <v>84691</v>
      </c>
      <c r="K63" s="2">
        <v>100</v>
      </c>
      <c r="L63" s="2" t="s">
        <v>37</v>
      </c>
      <c r="M63" s="2" t="s">
        <v>31</v>
      </c>
      <c r="N63">
        <f t="shared" si="0"/>
        <v>5407</v>
      </c>
      <c r="P63" s="8" t="s">
        <v>266</v>
      </c>
      <c r="Q63">
        <v>3649</v>
      </c>
      <c r="R63">
        <v>215</v>
      </c>
      <c r="S63">
        <v>413</v>
      </c>
      <c r="T63">
        <v>4277</v>
      </c>
      <c r="V63" t="s">
        <v>34</v>
      </c>
      <c r="W63">
        <v>4282</v>
      </c>
      <c r="X63">
        <v>425</v>
      </c>
      <c r="Y63">
        <v>317</v>
      </c>
      <c r="Z63">
        <v>5024</v>
      </c>
    </row>
    <row r="64" spans="1:26" ht="15.75" customHeight="1" x14ac:dyDescent="0.3">
      <c r="A64" s="2" t="s">
        <v>191</v>
      </c>
      <c r="B64" s="2" t="s">
        <v>14</v>
      </c>
      <c r="C64" s="2" t="s">
        <v>134</v>
      </c>
      <c r="D64" s="2" t="s">
        <v>22</v>
      </c>
      <c r="E64" s="2" t="s">
        <v>23</v>
      </c>
      <c r="F64" s="2">
        <v>1292</v>
      </c>
      <c r="G64" s="2">
        <v>626</v>
      </c>
      <c r="H64" s="2">
        <v>496</v>
      </c>
      <c r="I64" s="2">
        <v>25840</v>
      </c>
      <c r="J64" s="2">
        <v>24916</v>
      </c>
      <c r="K64" s="2">
        <v>149</v>
      </c>
      <c r="L64" s="2" t="s">
        <v>62</v>
      </c>
      <c r="M64" s="2" t="s">
        <v>31</v>
      </c>
      <c r="N64">
        <f t="shared" si="0"/>
        <v>2414</v>
      </c>
      <c r="P64" s="8" t="s">
        <v>345</v>
      </c>
      <c r="Q64">
        <v>1762</v>
      </c>
      <c r="R64">
        <v>405</v>
      </c>
      <c r="S64">
        <v>423</v>
      </c>
      <c r="T64">
        <v>2590</v>
      </c>
      <c r="V64" t="s">
        <v>244</v>
      </c>
      <c r="W64">
        <v>4739</v>
      </c>
      <c r="X64">
        <v>527</v>
      </c>
      <c r="Y64">
        <v>135</v>
      </c>
      <c r="Z64">
        <v>5401</v>
      </c>
    </row>
    <row r="65" spans="1:26" ht="15.75" customHeight="1" x14ac:dyDescent="0.3">
      <c r="A65" s="2" t="s">
        <v>200</v>
      </c>
      <c r="B65" s="2" t="s">
        <v>27</v>
      </c>
      <c r="C65" s="2" t="s">
        <v>201</v>
      </c>
      <c r="D65" s="2" t="s">
        <v>16</v>
      </c>
      <c r="E65" s="2" t="s">
        <v>29</v>
      </c>
      <c r="F65" s="2">
        <v>1855</v>
      </c>
      <c r="G65" s="2">
        <v>200</v>
      </c>
      <c r="H65" s="2">
        <v>174</v>
      </c>
      <c r="I65" s="2">
        <v>16695</v>
      </c>
      <c r="J65" s="2">
        <v>16330</v>
      </c>
      <c r="K65" s="2">
        <v>123</v>
      </c>
      <c r="L65" s="2" t="s">
        <v>30</v>
      </c>
      <c r="M65" s="2" t="s">
        <v>31</v>
      </c>
      <c r="N65">
        <f t="shared" si="0"/>
        <v>2229</v>
      </c>
      <c r="P65" s="8" t="s">
        <v>34</v>
      </c>
      <c r="Q65">
        <v>4282</v>
      </c>
      <c r="R65">
        <v>425</v>
      </c>
      <c r="S65">
        <v>317</v>
      </c>
      <c r="T65">
        <v>5024</v>
      </c>
      <c r="V65" t="s">
        <v>368</v>
      </c>
      <c r="W65">
        <v>3073</v>
      </c>
      <c r="X65">
        <v>553</v>
      </c>
      <c r="Y65">
        <v>174</v>
      </c>
      <c r="Z65">
        <v>3800</v>
      </c>
    </row>
    <row r="66" spans="1:26" ht="15.75" customHeight="1" x14ac:dyDescent="0.3">
      <c r="A66" s="2" t="s">
        <v>211</v>
      </c>
      <c r="B66" s="2" t="s">
        <v>33</v>
      </c>
      <c r="C66" s="2" t="s">
        <v>212</v>
      </c>
      <c r="D66" s="2" t="s">
        <v>35</v>
      </c>
      <c r="E66" s="2" t="s">
        <v>36</v>
      </c>
      <c r="F66" s="2">
        <v>1816</v>
      </c>
      <c r="G66" s="2">
        <v>29</v>
      </c>
      <c r="H66" s="2">
        <v>41</v>
      </c>
      <c r="I66" s="2">
        <v>19976</v>
      </c>
      <c r="J66" s="2">
        <v>19262</v>
      </c>
      <c r="K66" s="2">
        <v>283</v>
      </c>
      <c r="L66" s="2" t="s">
        <v>30</v>
      </c>
      <c r="M66" s="2" t="s">
        <v>31</v>
      </c>
      <c r="N66">
        <f t="shared" si="0"/>
        <v>1886</v>
      </c>
      <c r="P66" s="8" t="s">
        <v>244</v>
      </c>
      <c r="Q66">
        <v>4739</v>
      </c>
      <c r="R66">
        <v>527</v>
      </c>
      <c r="S66">
        <v>135</v>
      </c>
      <c r="T66">
        <v>5401</v>
      </c>
      <c r="V66" t="s">
        <v>404</v>
      </c>
      <c r="W66">
        <v>2078</v>
      </c>
      <c r="X66">
        <v>1080</v>
      </c>
      <c r="Y66">
        <v>570</v>
      </c>
      <c r="Z66">
        <v>3728</v>
      </c>
    </row>
    <row r="67" spans="1:26" ht="15.75" customHeight="1" x14ac:dyDescent="0.3">
      <c r="A67" s="2" t="s">
        <v>213</v>
      </c>
      <c r="B67" s="2" t="s">
        <v>33</v>
      </c>
      <c r="C67" s="2" t="s">
        <v>214</v>
      </c>
      <c r="D67" s="2" t="s">
        <v>52</v>
      </c>
      <c r="E67" s="2" t="s">
        <v>215</v>
      </c>
      <c r="F67" s="2">
        <v>725</v>
      </c>
      <c r="G67" s="2">
        <v>88</v>
      </c>
      <c r="H67" s="2">
        <v>428</v>
      </c>
      <c r="I67" s="2">
        <v>14500</v>
      </c>
      <c r="J67" s="2">
        <v>13637</v>
      </c>
      <c r="K67" s="2">
        <v>200</v>
      </c>
      <c r="L67" s="2" t="s">
        <v>216</v>
      </c>
      <c r="M67" s="2" t="s">
        <v>31</v>
      </c>
      <c r="N67">
        <f t="shared" ref="N67:N130" si="1">F67+G67+H67</f>
        <v>1241</v>
      </c>
      <c r="P67" s="8" t="s">
        <v>368</v>
      </c>
      <c r="Q67">
        <v>3073</v>
      </c>
      <c r="R67">
        <v>553</v>
      </c>
      <c r="S67">
        <v>174</v>
      </c>
      <c r="T67">
        <v>3800</v>
      </c>
      <c r="V67" t="s">
        <v>182</v>
      </c>
      <c r="W67">
        <v>2878</v>
      </c>
      <c r="X67">
        <v>248</v>
      </c>
      <c r="Y67">
        <v>416</v>
      </c>
      <c r="Z67">
        <v>3542</v>
      </c>
    </row>
    <row r="68" spans="1:26" ht="15.75" customHeight="1" x14ac:dyDescent="0.3">
      <c r="A68" s="2" t="s">
        <v>225</v>
      </c>
      <c r="B68" s="2" t="s">
        <v>14</v>
      </c>
      <c r="C68" s="2" t="s">
        <v>226</v>
      </c>
      <c r="D68" s="2" t="s">
        <v>74</v>
      </c>
      <c r="E68" s="2" t="s">
        <v>145</v>
      </c>
      <c r="F68" s="2">
        <v>1436</v>
      </c>
      <c r="G68" s="2">
        <v>765</v>
      </c>
      <c r="H68" s="2">
        <v>496</v>
      </c>
      <c r="I68" s="2">
        <v>12924</v>
      </c>
      <c r="J68" s="2">
        <v>12701</v>
      </c>
      <c r="K68" s="2">
        <v>197</v>
      </c>
      <c r="L68" s="2" t="s">
        <v>62</v>
      </c>
      <c r="M68" s="2" t="s">
        <v>31</v>
      </c>
      <c r="N68">
        <f t="shared" si="1"/>
        <v>2697</v>
      </c>
      <c r="P68" s="8" t="s">
        <v>404</v>
      </c>
      <c r="Q68">
        <v>2078</v>
      </c>
      <c r="R68">
        <v>1080</v>
      </c>
      <c r="S68">
        <v>570</v>
      </c>
      <c r="T68">
        <v>3728</v>
      </c>
      <c r="V68" t="s">
        <v>81</v>
      </c>
      <c r="W68">
        <v>4257</v>
      </c>
      <c r="X68">
        <v>401</v>
      </c>
      <c r="Y68">
        <v>676</v>
      </c>
      <c r="Z68">
        <v>5334</v>
      </c>
    </row>
    <row r="69" spans="1:26" ht="15.75" customHeight="1" x14ac:dyDescent="0.3">
      <c r="A69" s="2" t="s">
        <v>235</v>
      </c>
      <c r="B69" s="2" t="s">
        <v>14</v>
      </c>
      <c r="C69" s="2" t="s">
        <v>168</v>
      </c>
      <c r="D69" s="2" t="s">
        <v>35</v>
      </c>
      <c r="E69" s="2" t="s">
        <v>149</v>
      </c>
      <c r="F69" s="2">
        <v>3801</v>
      </c>
      <c r="G69" s="2">
        <v>967</v>
      </c>
      <c r="H69" s="2">
        <v>401</v>
      </c>
      <c r="I69" s="2">
        <v>38010</v>
      </c>
      <c r="J69" s="2">
        <v>37625</v>
      </c>
      <c r="K69" s="2">
        <v>236</v>
      </c>
      <c r="L69" s="2" t="s">
        <v>62</v>
      </c>
      <c r="M69" s="2" t="s">
        <v>31</v>
      </c>
      <c r="N69">
        <f t="shared" si="1"/>
        <v>5169</v>
      </c>
      <c r="P69" s="8" t="s">
        <v>182</v>
      </c>
      <c r="Q69">
        <v>2878</v>
      </c>
      <c r="R69">
        <v>248</v>
      </c>
      <c r="S69">
        <v>416</v>
      </c>
      <c r="T69">
        <v>3542</v>
      </c>
      <c r="V69" t="s">
        <v>510</v>
      </c>
      <c r="W69">
        <v>2603</v>
      </c>
      <c r="X69">
        <v>690</v>
      </c>
      <c r="Y69">
        <v>205</v>
      </c>
      <c r="Z69">
        <v>3498</v>
      </c>
    </row>
    <row r="70" spans="1:26" ht="15.75" customHeight="1" x14ac:dyDescent="0.3">
      <c r="A70" s="2" t="s">
        <v>236</v>
      </c>
      <c r="B70" s="2" t="s">
        <v>33</v>
      </c>
      <c r="C70" s="2" t="s">
        <v>237</v>
      </c>
      <c r="D70" s="2" t="s">
        <v>74</v>
      </c>
      <c r="E70" s="2" t="s">
        <v>85</v>
      </c>
      <c r="F70" s="2">
        <v>1431</v>
      </c>
      <c r="G70" s="2">
        <v>951</v>
      </c>
      <c r="H70" s="2">
        <v>26</v>
      </c>
      <c r="I70" s="2">
        <v>8586</v>
      </c>
      <c r="J70" s="2">
        <v>8396</v>
      </c>
      <c r="K70" s="2">
        <v>150</v>
      </c>
      <c r="L70" s="2" t="s">
        <v>37</v>
      </c>
      <c r="M70" s="2" t="s">
        <v>31</v>
      </c>
      <c r="N70">
        <f t="shared" si="1"/>
        <v>2408</v>
      </c>
      <c r="P70" s="8" t="s">
        <v>81</v>
      </c>
      <c r="Q70">
        <v>4257</v>
      </c>
      <c r="R70">
        <v>401</v>
      </c>
      <c r="S70">
        <v>676</v>
      </c>
      <c r="T70">
        <v>5334</v>
      </c>
      <c r="V70" t="s">
        <v>117</v>
      </c>
      <c r="W70">
        <v>1407</v>
      </c>
      <c r="X70">
        <v>400</v>
      </c>
      <c r="Y70">
        <v>351</v>
      </c>
      <c r="Z70">
        <v>2158</v>
      </c>
    </row>
    <row r="71" spans="1:26" ht="15.75" customHeight="1" x14ac:dyDescent="0.3">
      <c r="A71" s="2" t="s">
        <v>238</v>
      </c>
      <c r="B71" s="2" t="s">
        <v>33</v>
      </c>
      <c r="C71" s="2" t="s">
        <v>205</v>
      </c>
      <c r="D71" s="2" t="s">
        <v>52</v>
      </c>
      <c r="E71" s="2" t="s">
        <v>215</v>
      </c>
      <c r="F71" s="2">
        <v>2647</v>
      </c>
      <c r="G71" s="2">
        <v>304</v>
      </c>
      <c r="H71" s="2">
        <v>170</v>
      </c>
      <c r="I71" s="2">
        <v>18529</v>
      </c>
      <c r="J71" s="2">
        <v>17841</v>
      </c>
      <c r="K71" s="2">
        <v>46</v>
      </c>
      <c r="L71" s="2" t="s">
        <v>62</v>
      </c>
      <c r="M71" s="2" t="s">
        <v>31</v>
      </c>
      <c r="N71">
        <f t="shared" si="1"/>
        <v>3121</v>
      </c>
      <c r="P71" s="8" t="s">
        <v>510</v>
      </c>
      <c r="Q71">
        <v>2603</v>
      </c>
      <c r="R71">
        <v>690</v>
      </c>
      <c r="S71">
        <v>205</v>
      </c>
      <c r="T71">
        <v>3498</v>
      </c>
      <c r="V71" t="s">
        <v>331</v>
      </c>
      <c r="W71">
        <v>4295</v>
      </c>
      <c r="X71">
        <v>853</v>
      </c>
      <c r="Y71">
        <v>325</v>
      </c>
      <c r="Z71">
        <v>5473</v>
      </c>
    </row>
    <row r="72" spans="1:26" ht="15.75" customHeight="1" x14ac:dyDescent="0.3">
      <c r="A72" s="2" t="s">
        <v>246</v>
      </c>
      <c r="B72" s="2" t="s">
        <v>27</v>
      </c>
      <c r="C72" s="2" t="s">
        <v>247</v>
      </c>
      <c r="D72" s="2" t="s">
        <v>45</v>
      </c>
      <c r="E72" s="2" t="s">
        <v>68</v>
      </c>
      <c r="F72" s="2">
        <v>4171</v>
      </c>
      <c r="G72" s="2">
        <v>548</v>
      </c>
      <c r="H72" s="2">
        <v>86</v>
      </c>
      <c r="I72" s="2">
        <v>66736</v>
      </c>
      <c r="J72" s="2">
        <v>66634</v>
      </c>
      <c r="K72" s="2">
        <v>173</v>
      </c>
      <c r="L72" s="2" t="s">
        <v>62</v>
      </c>
      <c r="M72" s="2" t="s">
        <v>31</v>
      </c>
      <c r="N72">
        <f t="shared" si="1"/>
        <v>4805</v>
      </c>
      <c r="P72" s="8" t="s">
        <v>117</v>
      </c>
      <c r="Q72">
        <v>1407</v>
      </c>
      <c r="R72">
        <v>400</v>
      </c>
      <c r="S72">
        <v>351</v>
      </c>
      <c r="T72">
        <v>2158</v>
      </c>
      <c r="V72" t="s">
        <v>348</v>
      </c>
      <c r="W72">
        <v>5374</v>
      </c>
      <c r="X72">
        <v>260</v>
      </c>
      <c r="Y72">
        <v>876</v>
      </c>
      <c r="Z72">
        <v>6510</v>
      </c>
    </row>
    <row r="73" spans="1:26" ht="15.75" customHeight="1" x14ac:dyDescent="0.3">
      <c r="A73" s="2" t="s">
        <v>250</v>
      </c>
      <c r="B73" s="2" t="s">
        <v>27</v>
      </c>
      <c r="C73" s="2" t="s">
        <v>199</v>
      </c>
      <c r="D73" s="2" t="s">
        <v>74</v>
      </c>
      <c r="E73" s="2" t="s">
        <v>219</v>
      </c>
      <c r="F73" s="2">
        <v>4450</v>
      </c>
      <c r="G73" s="2">
        <v>983</v>
      </c>
      <c r="H73" s="2">
        <v>143</v>
      </c>
      <c r="I73" s="2">
        <v>75650</v>
      </c>
      <c r="J73" s="2">
        <v>75008</v>
      </c>
      <c r="K73" s="2">
        <v>12</v>
      </c>
      <c r="L73" s="2" t="s">
        <v>62</v>
      </c>
      <c r="M73" s="2" t="s">
        <v>31</v>
      </c>
      <c r="N73">
        <f t="shared" si="1"/>
        <v>5576</v>
      </c>
      <c r="P73" s="8" t="s">
        <v>331</v>
      </c>
      <c r="Q73">
        <v>4295</v>
      </c>
      <c r="R73">
        <v>853</v>
      </c>
      <c r="S73">
        <v>325</v>
      </c>
      <c r="T73">
        <v>5473</v>
      </c>
      <c r="V73" t="s">
        <v>77</v>
      </c>
      <c r="W73">
        <v>6962</v>
      </c>
      <c r="X73">
        <v>1086</v>
      </c>
      <c r="Y73">
        <v>799</v>
      </c>
      <c r="Z73">
        <v>8847</v>
      </c>
    </row>
    <row r="74" spans="1:26" ht="15.75" customHeight="1" x14ac:dyDescent="0.3">
      <c r="A74" s="2" t="s">
        <v>255</v>
      </c>
      <c r="B74" s="2" t="s">
        <v>27</v>
      </c>
      <c r="C74" s="2" t="s">
        <v>256</v>
      </c>
      <c r="D74" s="2" t="s">
        <v>35</v>
      </c>
      <c r="E74" s="2" t="s">
        <v>154</v>
      </c>
      <c r="F74" s="2">
        <v>3655</v>
      </c>
      <c r="G74" s="2">
        <v>568</v>
      </c>
      <c r="H74" s="2">
        <v>286</v>
      </c>
      <c r="I74" s="2">
        <v>32895</v>
      </c>
      <c r="J74" s="2">
        <v>32015</v>
      </c>
      <c r="K74" s="2">
        <v>199</v>
      </c>
      <c r="L74" s="2" t="s">
        <v>30</v>
      </c>
      <c r="M74" s="2" t="s">
        <v>31</v>
      </c>
      <c r="N74">
        <f t="shared" si="1"/>
        <v>4509</v>
      </c>
      <c r="P74" s="8" t="s">
        <v>348</v>
      </c>
      <c r="Q74">
        <v>5374</v>
      </c>
      <c r="R74">
        <v>260</v>
      </c>
      <c r="S74">
        <v>876</v>
      </c>
      <c r="T74">
        <v>6510</v>
      </c>
      <c r="V74" t="s">
        <v>484</v>
      </c>
      <c r="W74">
        <v>3960</v>
      </c>
      <c r="X74">
        <v>266</v>
      </c>
      <c r="Y74">
        <v>8</v>
      </c>
      <c r="Z74">
        <v>4234</v>
      </c>
    </row>
    <row r="75" spans="1:26" ht="15.75" customHeight="1" x14ac:dyDescent="0.3">
      <c r="A75" s="2" t="s">
        <v>265</v>
      </c>
      <c r="B75" s="2" t="s">
        <v>14</v>
      </c>
      <c r="C75" s="2" t="s">
        <v>266</v>
      </c>
      <c r="D75" s="2" t="s">
        <v>35</v>
      </c>
      <c r="E75" s="2" t="s">
        <v>149</v>
      </c>
      <c r="F75" s="2">
        <v>3649</v>
      </c>
      <c r="G75" s="2">
        <v>215</v>
      </c>
      <c r="H75" s="2">
        <v>413</v>
      </c>
      <c r="I75" s="2">
        <v>25543</v>
      </c>
      <c r="J75" s="2">
        <v>24963</v>
      </c>
      <c r="K75" s="2">
        <v>167</v>
      </c>
      <c r="L75" s="2" t="s">
        <v>62</v>
      </c>
      <c r="M75" s="2" t="s">
        <v>31</v>
      </c>
      <c r="N75">
        <f t="shared" si="1"/>
        <v>4277</v>
      </c>
      <c r="P75" s="8" t="s">
        <v>77</v>
      </c>
      <c r="Q75">
        <v>6962</v>
      </c>
      <c r="R75">
        <v>1086</v>
      </c>
      <c r="S75">
        <v>799</v>
      </c>
      <c r="T75">
        <v>8847</v>
      </c>
      <c r="V75" t="s">
        <v>55</v>
      </c>
      <c r="W75">
        <v>3784</v>
      </c>
      <c r="X75">
        <v>808</v>
      </c>
      <c r="Y75">
        <v>404</v>
      </c>
      <c r="Z75">
        <v>4996</v>
      </c>
    </row>
    <row r="76" spans="1:26" ht="15.75" customHeight="1" x14ac:dyDescent="0.3">
      <c r="A76" s="2" t="s">
        <v>271</v>
      </c>
      <c r="B76" s="2" t="s">
        <v>14</v>
      </c>
      <c r="C76" s="2" t="s">
        <v>272</v>
      </c>
      <c r="D76" s="2" t="s">
        <v>35</v>
      </c>
      <c r="E76" s="2" t="s">
        <v>149</v>
      </c>
      <c r="F76" s="2">
        <v>1957</v>
      </c>
      <c r="G76" s="2">
        <v>877</v>
      </c>
      <c r="H76" s="2">
        <v>238</v>
      </c>
      <c r="I76" s="2">
        <v>17613</v>
      </c>
      <c r="J76" s="2">
        <v>16865</v>
      </c>
      <c r="K76" s="2">
        <v>297</v>
      </c>
      <c r="L76" s="2" t="s">
        <v>62</v>
      </c>
      <c r="M76" s="2" t="s">
        <v>31</v>
      </c>
      <c r="N76">
        <f t="shared" si="1"/>
        <v>3072</v>
      </c>
      <c r="P76" s="8" t="s">
        <v>484</v>
      </c>
      <c r="Q76">
        <v>3960</v>
      </c>
      <c r="R76">
        <v>266</v>
      </c>
      <c r="S76">
        <v>8</v>
      </c>
      <c r="T76">
        <v>4234</v>
      </c>
      <c r="V76" t="s">
        <v>318</v>
      </c>
      <c r="W76">
        <v>7664</v>
      </c>
      <c r="X76">
        <v>1574</v>
      </c>
      <c r="Y76">
        <v>424</v>
      </c>
      <c r="Z76">
        <v>9662</v>
      </c>
    </row>
    <row r="77" spans="1:26" ht="15.75" customHeight="1" x14ac:dyDescent="0.3">
      <c r="A77" s="2" t="s">
        <v>283</v>
      </c>
      <c r="B77" s="2" t="s">
        <v>43</v>
      </c>
      <c r="C77" s="2" t="s">
        <v>282</v>
      </c>
      <c r="D77" s="2" t="s">
        <v>52</v>
      </c>
      <c r="E77" s="2" t="s">
        <v>59</v>
      </c>
      <c r="F77" s="2">
        <v>4551</v>
      </c>
      <c r="G77" s="2">
        <v>714</v>
      </c>
      <c r="H77" s="2">
        <v>207</v>
      </c>
      <c r="I77" s="2">
        <v>68265</v>
      </c>
      <c r="J77" s="2">
        <v>67754</v>
      </c>
      <c r="K77" s="2">
        <v>57</v>
      </c>
      <c r="L77" s="2" t="s">
        <v>62</v>
      </c>
      <c r="M77" s="2" t="s">
        <v>31</v>
      </c>
      <c r="N77">
        <f t="shared" si="1"/>
        <v>5472</v>
      </c>
      <c r="P77" s="8" t="s">
        <v>55</v>
      </c>
      <c r="Q77">
        <v>3784</v>
      </c>
      <c r="R77">
        <v>808</v>
      </c>
      <c r="S77">
        <v>404</v>
      </c>
      <c r="T77">
        <v>4996</v>
      </c>
      <c r="V77" t="s">
        <v>195</v>
      </c>
      <c r="W77">
        <v>7456</v>
      </c>
      <c r="X77">
        <v>1760</v>
      </c>
      <c r="Y77">
        <v>334</v>
      </c>
      <c r="Z77">
        <v>9550</v>
      </c>
    </row>
    <row r="78" spans="1:26" ht="15.75" customHeight="1" x14ac:dyDescent="0.3">
      <c r="A78" s="2" t="s">
        <v>286</v>
      </c>
      <c r="B78" s="2" t="s">
        <v>43</v>
      </c>
      <c r="C78" s="2" t="s">
        <v>168</v>
      </c>
      <c r="D78" s="2" t="s">
        <v>35</v>
      </c>
      <c r="E78" s="2" t="s">
        <v>71</v>
      </c>
      <c r="F78" s="2">
        <v>780</v>
      </c>
      <c r="G78" s="2">
        <v>928</v>
      </c>
      <c r="H78" s="2">
        <v>301</v>
      </c>
      <c r="I78" s="2">
        <v>8580</v>
      </c>
      <c r="J78" s="2">
        <v>8081</v>
      </c>
      <c r="K78" s="2">
        <v>91</v>
      </c>
      <c r="L78" s="2" t="s">
        <v>37</v>
      </c>
      <c r="M78" s="2" t="s">
        <v>31</v>
      </c>
      <c r="N78">
        <f t="shared" si="1"/>
        <v>2009</v>
      </c>
      <c r="P78" s="8" t="s">
        <v>318</v>
      </c>
      <c r="Q78">
        <v>7664</v>
      </c>
      <c r="R78">
        <v>1574</v>
      </c>
      <c r="S78">
        <v>424</v>
      </c>
      <c r="T78">
        <v>9662</v>
      </c>
      <c r="V78" t="s">
        <v>177</v>
      </c>
      <c r="W78">
        <v>4886</v>
      </c>
      <c r="X78">
        <v>983</v>
      </c>
      <c r="Y78">
        <v>409</v>
      </c>
      <c r="Z78">
        <v>6278</v>
      </c>
    </row>
    <row r="79" spans="1:26" ht="15.75" customHeight="1" x14ac:dyDescent="0.3">
      <c r="A79" s="2" t="s">
        <v>295</v>
      </c>
      <c r="B79" s="2" t="s">
        <v>43</v>
      </c>
      <c r="C79" s="2" t="s">
        <v>224</v>
      </c>
      <c r="D79" s="2" t="s">
        <v>16</v>
      </c>
      <c r="E79" s="2" t="s">
        <v>65</v>
      </c>
      <c r="F79" s="2">
        <v>3452</v>
      </c>
      <c r="G79" s="2">
        <v>652</v>
      </c>
      <c r="H79" s="2">
        <v>442</v>
      </c>
      <c r="I79" s="2">
        <v>65588</v>
      </c>
      <c r="J79" s="2">
        <v>65049</v>
      </c>
      <c r="K79" s="2">
        <v>158</v>
      </c>
      <c r="L79" s="2" t="s">
        <v>62</v>
      </c>
      <c r="M79" s="2" t="s">
        <v>31</v>
      </c>
      <c r="N79">
        <f t="shared" si="1"/>
        <v>4546</v>
      </c>
      <c r="P79" s="8" t="s">
        <v>195</v>
      </c>
      <c r="Q79">
        <v>7456</v>
      </c>
      <c r="R79">
        <v>1760</v>
      </c>
      <c r="S79">
        <v>334</v>
      </c>
      <c r="T79">
        <v>9550</v>
      </c>
      <c r="V79" t="s">
        <v>293</v>
      </c>
      <c r="W79">
        <v>3811</v>
      </c>
      <c r="X79">
        <v>866</v>
      </c>
      <c r="Y79">
        <v>216</v>
      </c>
      <c r="Z79">
        <v>4893</v>
      </c>
    </row>
    <row r="80" spans="1:26" ht="15.75" customHeight="1" x14ac:dyDescent="0.3">
      <c r="A80" s="2" t="s">
        <v>300</v>
      </c>
      <c r="B80" s="2" t="s">
        <v>33</v>
      </c>
      <c r="C80" s="2" t="s">
        <v>168</v>
      </c>
      <c r="D80" s="2" t="s">
        <v>16</v>
      </c>
      <c r="E80" s="2" t="s">
        <v>82</v>
      </c>
      <c r="F80" s="2">
        <v>4840</v>
      </c>
      <c r="G80" s="2">
        <v>658</v>
      </c>
      <c r="H80" s="2">
        <v>211</v>
      </c>
      <c r="I80" s="2">
        <v>43560</v>
      </c>
      <c r="J80" s="2">
        <v>43225</v>
      </c>
      <c r="K80" s="2">
        <v>57</v>
      </c>
      <c r="L80" s="2" t="s">
        <v>62</v>
      </c>
      <c r="M80" s="2" t="s">
        <v>31</v>
      </c>
      <c r="N80">
        <f t="shared" si="1"/>
        <v>5709</v>
      </c>
      <c r="P80" s="8" t="s">
        <v>177</v>
      </c>
      <c r="Q80">
        <v>4886</v>
      </c>
      <c r="R80">
        <v>983</v>
      </c>
      <c r="S80">
        <v>409</v>
      </c>
      <c r="T80">
        <v>6278</v>
      </c>
      <c r="V80" t="s">
        <v>87</v>
      </c>
      <c r="W80">
        <v>4054</v>
      </c>
      <c r="X80">
        <v>488</v>
      </c>
      <c r="Y80">
        <v>373</v>
      </c>
      <c r="Z80">
        <v>4915</v>
      </c>
    </row>
    <row r="81" spans="1:26" ht="15.75" customHeight="1" x14ac:dyDescent="0.3">
      <c r="A81" s="2" t="s">
        <v>311</v>
      </c>
      <c r="B81" s="2" t="s">
        <v>14</v>
      </c>
      <c r="C81" s="2" t="s">
        <v>188</v>
      </c>
      <c r="D81" s="2" t="s">
        <v>52</v>
      </c>
      <c r="E81" s="2" t="s">
        <v>132</v>
      </c>
      <c r="F81" s="2">
        <v>305</v>
      </c>
      <c r="G81" s="2">
        <v>187</v>
      </c>
      <c r="H81" s="2">
        <v>243</v>
      </c>
      <c r="I81" s="2">
        <v>4575</v>
      </c>
      <c r="J81" s="2">
        <v>3704</v>
      </c>
      <c r="K81" s="2">
        <v>234</v>
      </c>
      <c r="L81" s="2" t="s">
        <v>62</v>
      </c>
      <c r="M81" s="2" t="s">
        <v>31</v>
      </c>
      <c r="N81">
        <f t="shared" si="1"/>
        <v>735</v>
      </c>
      <c r="P81" s="8" t="s">
        <v>293</v>
      </c>
      <c r="Q81">
        <v>3811</v>
      </c>
      <c r="R81">
        <v>866</v>
      </c>
      <c r="S81">
        <v>216</v>
      </c>
      <c r="T81">
        <v>4893</v>
      </c>
      <c r="V81" t="s">
        <v>242</v>
      </c>
      <c r="W81">
        <v>1238</v>
      </c>
      <c r="X81">
        <v>366</v>
      </c>
      <c r="Y81">
        <v>444</v>
      </c>
      <c r="Z81">
        <v>2048</v>
      </c>
    </row>
    <row r="82" spans="1:26" ht="15.75" customHeight="1" x14ac:dyDescent="0.3">
      <c r="A82" s="2" t="s">
        <v>320</v>
      </c>
      <c r="B82" s="2" t="s">
        <v>27</v>
      </c>
      <c r="C82" s="2" t="s">
        <v>274</v>
      </c>
      <c r="D82" s="2" t="s">
        <v>45</v>
      </c>
      <c r="E82" s="2" t="s">
        <v>68</v>
      </c>
      <c r="F82" s="2">
        <v>80</v>
      </c>
      <c r="G82" s="2">
        <v>362</v>
      </c>
      <c r="H82" s="2">
        <v>80</v>
      </c>
      <c r="I82" s="2">
        <v>1040</v>
      </c>
      <c r="J82" s="2">
        <v>349</v>
      </c>
      <c r="K82" s="2">
        <v>117</v>
      </c>
      <c r="L82" s="2" t="s">
        <v>30</v>
      </c>
      <c r="M82" s="2" t="s">
        <v>31</v>
      </c>
      <c r="N82">
        <f t="shared" si="1"/>
        <v>522</v>
      </c>
      <c r="P82" s="8" t="s">
        <v>87</v>
      </c>
      <c r="Q82">
        <v>4054</v>
      </c>
      <c r="R82">
        <v>488</v>
      </c>
      <c r="S82">
        <v>373</v>
      </c>
      <c r="T82">
        <v>4915</v>
      </c>
      <c r="V82" t="s">
        <v>401</v>
      </c>
      <c r="W82">
        <v>4858</v>
      </c>
      <c r="X82">
        <v>317</v>
      </c>
      <c r="Y82">
        <v>129</v>
      </c>
      <c r="Z82">
        <v>5304</v>
      </c>
    </row>
    <row r="83" spans="1:26" ht="15.75" customHeight="1" x14ac:dyDescent="0.3">
      <c r="A83" s="2" t="s">
        <v>335</v>
      </c>
      <c r="B83" s="2" t="s">
        <v>14</v>
      </c>
      <c r="C83" s="2" t="s">
        <v>336</v>
      </c>
      <c r="D83" s="2" t="s">
        <v>74</v>
      </c>
      <c r="E83" s="2" t="s">
        <v>145</v>
      </c>
      <c r="F83" s="2">
        <v>754</v>
      </c>
      <c r="G83" s="2">
        <v>197</v>
      </c>
      <c r="H83" s="2">
        <v>257</v>
      </c>
      <c r="I83" s="2">
        <v>6786</v>
      </c>
      <c r="J83" s="2">
        <v>6221</v>
      </c>
      <c r="K83" s="2">
        <v>212</v>
      </c>
      <c r="L83" s="2" t="s">
        <v>30</v>
      </c>
      <c r="M83" s="2" t="s">
        <v>31</v>
      </c>
      <c r="N83">
        <f t="shared" si="1"/>
        <v>1208</v>
      </c>
      <c r="P83" s="8" t="s">
        <v>242</v>
      </c>
      <c r="Q83">
        <v>1238</v>
      </c>
      <c r="R83">
        <v>366</v>
      </c>
      <c r="S83">
        <v>444</v>
      </c>
      <c r="T83">
        <v>2048</v>
      </c>
      <c r="V83" t="s">
        <v>409</v>
      </c>
      <c r="W83">
        <v>1048</v>
      </c>
      <c r="X83">
        <v>374</v>
      </c>
      <c r="Y83">
        <v>450</v>
      </c>
      <c r="Z83">
        <v>1872</v>
      </c>
    </row>
    <row r="84" spans="1:26" ht="15.75" customHeight="1" x14ac:dyDescent="0.3">
      <c r="A84" s="2" t="s">
        <v>363</v>
      </c>
      <c r="B84" s="2" t="s">
        <v>14</v>
      </c>
      <c r="C84" s="2" t="s">
        <v>364</v>
      </c>
      <c r="D84" s="2" t="s">
        <v>22</v>
      </c>
      <c r="E84" s="2" t="s">
        <v>23</v>
      </c>
      <c r="F84" s="2">
        <v>3577</v>
      </c>
      <c r="G84" s="2">
        <v>596</v>
      </c>
      <c r="H84" s="2">
        <v>493</v>
      </c>
      <c r="I84" s="2">
        <v>67963</v>
      </c>
      <c r="J84" s="2">
        <v>67839</v>
      </c>
      <c r="K84" s="2">
        <v>53</v>
      </c>
      <c r="L84" s="2" t="s">
        <v>30</v>
      </c>
      <c r="M84" s="2" t="s">
        <v>31</v>
      </c>
      <c r="N84">
        <f t="shared" si="1"/>
        <v>4666</v>
      </c>
      <c r="P84" s="8" t="s">
        <v>401</v>
      </c>
      <c r="Q84">
        <v>4858</v>
      </c>
      <c r="R84">
        <v>317</v>
      </c>
      <c r="S84">
        <v>129</v>
      </c>
      <c r="T84">
        <v>5304</v>
      </c>
      <c r="V84" t="s">
        <v>103</v>
      </c>
      <c r="W84">
        <v>2647</v>
      </c>
      <c r="X84">
        <v>385</v>
      </c>
      <c r="Y84">
        <v>456</v>
      </c>
      <c r="Z84">
        <v>3488</v>
      </c>
    </row>
    <row r="85" spans="1:26" ht="15.75" customHeight="1" x14ac:dyDescent="0.3">
      <c r="A85" s="2" t="s">
        <v>367</v>
      </c>
      <c r="B85" s="2" t="s">
        <v>43</v>
      </c>
      <c r="C85" s="2" t="s">
        <v>368</v>
      </c>
      <c r="D85" s="2" t="s">
        <v>45</v>
      </c>
      <c r="E85" s="2" t="s">
        <v>46</v>
      </c>
      <c r="F85" s="2">
        <v>3073</v>
      </c>
      <c r="G85" s="2">
        <v>553</v>
      </c>
      <c r="H85" s="2">
        <v>174</v>
      </c>
      <c r="I85" s="2">
        <v>52241</v>
      </c>
      <c r="J85" s="2">
        <v>51605</v>
      </c>
      <c r="K85" s="2">
        <v>246</v>
      </c>
      <c r="L85" s="2" t="s">
        <v>37</v>
      </c>
      <c r="M85" s="2" t="s">
        <v>31</v>
      </c>
      <c r="N85">
        <f t="shared" si="1"/>
        <v>3800</v>
      </c>
      <c r="P85" s="8" t="s">
        <v>409</v>
      </c>
      <c r="Q85">
        <v>1048</v>
      </c>
      <c r="R85">
        <v>374</v>
      </c>
      <c r="S85">
        <v>450</v>
      </c>
      <c r="T85">
        <v>1872</v>
      </c>
      <c r="V85" t="s">
        <v>252</v>
      </c>
      <c r="W85">
        <v>3143</v>
      </c>
      <c r="X85">
        <v>990</v>
      </c>
      <c r="Y85">
        <v>366</v>
      </c>
      <c r="Z85">
        <v>4499</v>
      </c>
    </row>
    <row r="86" spans="1:26" ht="15.75" customHeight="1" x14ac:dyDescent="0.3">
      <c r="A86" s="2" t="s">
        <v>369</v>
      </c>
      <c r="B86" s="2" t="s">
        <v>14</v>
      </c>
      <c r="C86" s="2" t="s">
        <v>370</v>
      </c>
      <c r="D86" s="2" t="s">
        <v>74</v>
      </c>
      <c r="E86" s="2" t="s">
        <v>145</v>
      </c>
      <c r="F86" s="2">
        <v>1330</v>
      </c>
      <c r="G86" s="2">
        <v>925</v>
      </c>
      <c r="H86" s="2">
        <v>35</v>
      </c>
      <c r="I86" s="2">
        <v>15960</v>
      </c>
      <c r="J86" s="2">
        <v>15379</v>
      </c>
      <c r="K86" s="2">
        <v>229</v>
      </c>
      <c r="L86" s="2" t="s">
        <v>62</v>
      </c>
      <c r="M86" s="2" t="s">
        <v>31</v>
      </c>
      <c r="N86">
        <f t="shared" si="1"/>
        <v>2290</v>
      </c>
      <c r="P86" s="8" t="s">
        <v>103</v>
      </c>
      <c r="Q86">
        <v>2647</v>
      </c>
      <c r="R86">
        <v>385</v>
      </c>
      <c r="S86">
        <v>456</v>
      </c>
      <c r="T86">
        <v>3488</v>
      </c>
      <c r="V86" t="s">
        <v>545</v>
      </c>
      <c r="W86">
        <v>3389</v>
      </c>
      <c r="X86">
        <v>344</v>
      </c>
      <c r="Y86">
        <v>229</v>
      </c>
      <c r="Z86">
        <v>3962</v>
      </c>
    </row>
    <row r="87" spans="1:26" ht="15.75" customHeight="1" x14ac:dyDescent="0.3">
      <c r="A87" s="2" t="s">
        <v>376</v>
      </c>
      <c r="B87" s="2" t="s">
        <v>33</v>
      </c>
      <c r="C87" s="2" t="s">
        <v>377</v>
      </c>
      <c r="D87" s="2" t="s">
        <v>45</v>
      </c>
      <c r="E87" s="2" t="s">
        <v>88</v>
      </c>
      <c r="F87" s="2">
        <v>3099</v>
      </c>
      <c r="G87" s="2">
        <v>694</v>
      </c>
      <c r="H87" s="2">
        <v>171</v>
      </c>
      <c r="I87" s="2">
        <v>43386</v>
      </c>
      <c r="J87" s="2">
        <v>42921</v>
      </c>
      <c r="K87" s="2">
        <v>52</v>
      </c>
      <c r="L87" s="2" t="s">
        <v>30</v>
      </c>
      <c r="M87" s="2" t="s">
        <v>31</v>
      </c>
      <c r="N87">
        <f t="shared" si="1"/>
        <v>3964</v>
      </c>
      <c r="P87" s="8" t="s">
        <v>252</v>
      </c>
      <c r="Q87">
        <v>3143</v>
      </c>
      <c r="R87">
        <v>990</v>
      </c>
      <c r="S87">
        <v>366</v>
      </c>
      <c r="T87">
        <v>4499</v>
      </c>
      <c r="V87" t="s">
        <v>299</v>
      </c>
      <c r="W87">
        <v>2936</v>
      </c>
      <c r="X87">
        <v>439</v>
      </c>
      <c r="Y87">
        <v>44</v>
      </c>
      <c r="Z87">
        <v>3419</v>
      </c>
    </row>
    <row r="88" spans="1:26" ht="15.75" customHeight="1" x14ac:dyDescent="0.3">
      <c r="A88" s="2" t="s">
        <v>381</v>
      </c>
      <c r="B88" s="2" t="s">
        <v>27</v>
      </c>
      <c r="C88" s="2" t="s">
        <v>382</v>
      </c>
      <c r="D88" s="2" t="s">
        <v>52</v>
      </c>
      <c r="E88" s="2" t="s">
        <v>53</v>
      </c>
      <c r="F88" s="2">
        <v>606</v>
      </c>
      <c r="G88" s="2">
        <v>789</v>
      </c>
      <c r="H88" s="2">
        <v>470</v>
      </c>
      <c r="I88" s="2">
        <v>7878</v>
      </c>
      <c r="J88" s="2">
        <v>7389</v>
      </c>
      <c r="K88" s="2">
        <v>239</v>
      </c>
      <c r="L88" s="2" t="s">
        <v>37</v>
      </c>
      <c r="M88" s="2" t="s">
        <v>31</v>
      </c>
      <c r="N88">
        <f t="shared" si="1"/>
        <v>1865</v>
      </c>
      <c r="P88" s="8" t="s">
        <v>545</v>
      </c>
      <c r="Q88">
        <v>3389</v>
      </c>
      <c r="R88">
        <v>344</v>
      </c>
      <c r="S88">
        <v>229</v>
      </c>
      <c r="T88">
        <v>3962</v>
      </c>
      <c r="V88" t="s">
        <v>274</v>
      </c>
      <c r="W88">
        <v>12281</v>
      </c>
      <c r="X88">
        <v>2238</v>
      </c>
      <c r="Y88">
        <v>579</v>
      </c>
      <c r="Z88">
        <v>15098</v>
      </c>
    </row>
    <row r="89" spans="1:26" ht="15.75" customHeight="1" x14ac:dyDescent="0.3">
      <c r="A89" s="2" t="s">
        <v>390</v>
      </c>
      <c r="B89" s="2" t="s">
        <v>43</v>
      </c>
      <c r="C89" s="2" t="s">
        <v>348</v>
      </c>
      <c r="D89" s="2" t="s">
        <v>45</v>
      </c>
      <c r="E89" s="2" t="s">
        <v>46</v>
      </c>
      <c r="F89" s="2">
        <v>4292</v>
      </c>
      <c r="G89" s="2">
        <v>51</v>
      </c>
      <c r="H89" s="2">
        <v>392</v>
      </c>
      <c r="I89" s="2">
        <v>55796</v>
      </c>
      <c r="J89" s="2">
        <v>54826</v>
      </c>
      <c r="K89" s="2">
        <v>264</v>
      </c>
      <c r="L89" s="2" t="s">
        <v>37</v>
      </c>
      <c r="M89" s="2" t="s">
        <v>31</v>
      </c>
      <c r="N89">
        <f t="shared" si="1"/>
        <v>4735</v>
      </c>
      <c r="P89" s="8" t="s">
        <v>299</v>
      </c>
      <c r="Q89">
        <v>2936</v>
      </c>
      <c r="R89">
        <v>439</v>
      </c>
      <c r="S89">
        <v>44</v>
      </c>
      <c r="T89">
        <v>3419</v>
      </c>
      <c r="V89" t="s">
        <v>539</v>
      </c>
      <c r="W89">
        <v>1488</v>
      </c>
      <c r="X89">
        <v>417</v>
      </c>
      <c r="Y89">
        <v>168</v>
      </c>
      <c r="Z89">
        <v>2073</v>
      </c>
    </row>
    <row r="90" spans="1:26" ht="15.75" customHeight="1" x14ac:dyDescent="0.3">
      <c r="A90" s="2" t="s">
        <v>391</v>
      </c>
      <c r="B90" s="2" t="s">
        <v>14</v>
      </c>
      <c r="C90" s="2" t="s">
        <v>392</v>
      </c>
      <c r="D90" s="2" t="s">
        <v>16</v>
      </c>
      <c r="E90" s="2" t="s">
        <v>17</v>
      </c>
      <c r="F90" s="2">
        <v>1644</v>
      </c>
      <c r="G90" s="2">
        <v>546</v>
      </c>
      <c r="H90" s="2">
        <v>150</v>
      </c>
      <c r="I90" s="2">
        <v>27948</v>
      </c>
      <c r="J90" s="2">
        <v>27184</v>
      </c>
      <c r="K90" s="2">
        <v>300</v>
      </c>
      <c r="L90" s="2" t="s">
        <v>37</v>
      </c>
      <c r="M90" s="2" t="s">
        <v>31</v>
      </c>
      <c r="N90">
        <f t="shared" si="1"/>
        <v>2340</v>
      </c>
      <c r="P90" s="8" t="s">
        <v>274</v>
      </c>
      <c r="Q90">
        <v>12281</v>
      </c>
      <c r="R90">
        <v>2238</v>
      </c>
      <c r="S90">
        <v>579</v>
      </c>
      <c r="T90">
        <v>15098</v>
      </c>
      <c r="V90" t="s">
        <v>396</v>
      </c>
      <c r="W90">
        <v>6150</v>
      </c>
      <c r="X90">
        <v>279</v>
      </c>
      <c r="Y90">
        <v>50</v>
      </c>
      <c r="Z90">
        <v>6479</v>
      </c>
    </row>
    <row r="91" spans="1:26" ht="15.75" customHeight="1" x14ac:dyDescent="0.3">
      <c r="A91" s="2" t="s">
        <v>397</v>
      </c>
      <c r="B91" s="2" t="s">
        <v>27</v>
      </c>
      <c r="C91" s="2" t="s">
        <v>362</v>
      </c>
      <c r="D91" s="2" t="s">
        <v>35</v>
      </c>
      <c r="E91" s="2" t="s">
        <v>154</v>
      </c>
      <c r="F91" s="2">
        <v>4285</v>
      </c>
      <c r="G91" s="2">
        <v>886</v>
      </c>
      <c r="H91" s="2">
        <v>376</v>
      </c>
      <c r="I91" s="2">
        <v>55705</v>
      </c>
      <c r="J91" s="2">
        <v>55556</v>
      </c>
      <c r="K91" s="2">
        <v>51</v>
      </c>
      <c r="L91" s="2" t="s">
        <v>62</v>
      </c>
      <c r="M91" s="2" t="s">
        <v>31</v>
      </c>
      <c r="N91">
        <f t="shared" si="1"/>
        <v>5547</v>
      </c>
      <c r="P91" s="8" t="s">
        <v>539</v>
      </c>
      <c r="Q91">
        <v>1488</v>
      </c>
      <c r="R91">
        <v>417</v>
      </c>
      <c r="S91">
        <v>168</v>
      </c>
      <c r="T91">
        <v>2073</v>
      </c>
      <c r="V91" t="s">
        <v>272</v>
      </c>
      <c r="W91">
        <v>1957</v>
      </c>
      <c r="X91">
        <v>877</v>
      </c>
      <c r="Y91">
        <v>238</v>
      </c>
      <c r="Z91">
        <v>3072</v>
      </c>
    </row>
    <row r="92" spans="1:26" ht="15.75" customHeight="1" x14ac:dyDescent="0.3">
      <c r="A92" s="2" t="s">
        <v>400</v>
      </c>
      <c r="B92" s="2" t="s">
        <v>14</v>
      </c>
      <c r="C92" s="2" t="s">
        <v>401</v>
      </c>
      <c r="D92" s="2" t="s">
        <v>52</v>
      </c>
      <c r="E92" s="2" t="s">
        <v>132</v>
      </c>
      <c r="F92" s="2">
        <v>4858</v>
      </c>
      <c r="G92" s="2">
        <v>317</v>
      </c>
      <c r="H92" s="2">
        <v>129</v>
      </c>
      <c r="I92" s="2">
        <v>53438</v>
      </c>
      <c r="J92" s="2">
        <v>52687</v>
      </c>
      <c r="K92" s="2">
        <v>223</v>
      </c>
      <c r="L92" s="2" t="s">
        <v>37</v>
      </c>
      <c r="M92" s="2" t="s">
        <v>31</v>
      </c>
      <c r="N92">
        <f t="shared" si="1"/>
        <v>5304</v>
      </c>
      <c r="P92" s="8" t="s">
        <v>396</v>
      </c>
      <c r="Q92">
        <v>6150</v>
      </c>
      <c r="R92">
        <v>279</v>
      </c>
      <c r="S92">
        <v>50</v>
      </c>
      <c r="T92">
        <v>6479</v>
      </c>
      <c r="V92" t="s">
        <v>444</v>
      </c>
      <c r="W92">
        <v>1814</v>
      </c>
      <c r="X92">
        <v>653</v>
      </c>
      <c r="Y92">
        <v>363</v>
      </c>
      <c r="Z92">
        <v>2830</v>
      </c>
    </row>
    <row r="93" spans="1:26" ht="15.75" customHeight="1" x14ac:dyDescent="0.3">
      <c r="A93" s="2" t="s">
        <v>405</v>
      </c>
      <c r="B93" s="2" t="s">
        <v>33</v>
      </c>
      <c r="C93" s="2" t="s">
        <v>406</v>
      </c>
      <c r="D93" s="2" t="s">
        <v>22</v>
      </c>
      <c r="E93" s="2" t="s">
        <v>113</v>
      </c>
      <c r="F93" s="2">
        <v>1813</v>
      </c>
      <c r="G93" s="2">
        <v>623</v>
      </c>
      <c r="H93" s="2">
        <v>72</v>
      </c>
      <c r="I93" s="2">
        <v>19943</v>
      </c>
      <c r="J93" s="2">
        <v>18959</v>
      </c>
      <c r="K93" s="2">
        <v>85</v>
      </c>
      <c r="L93" s="2" t="s">
        <v>37</v>
      </c>
      <c r="M93" s="2" t="s">
        <v>31</v>
      </c>
      <c r="N93">
        <f t="shared" si="1"/>
        <v>2508</v>
      </c>
      <c r="P93" s="8" t="s">
        <v>272</v>
      </c>
      <c r="Q93">
        <v>1957</v>
      </c>
      <c r="R93">
        <v>877</v>
      </c>
      <c r="S93">
        <v>238</v>
      </c>
      <c r="T93">
        <v>3072</v>
      </c>
      <c r="V93" t="s">
        <v>209</v>
      </c>
      <c r="W93">
        <v>4053</v>
      </c>
      <c r="X93">
        <v>1069</v>
      </c>
      <c r="Y93">
        <v>616</v>
      </c>
      <c r="Z93">
        <v>5738</v>
      </c>
    </row>
    <row r="94" spans="1:26" ht="15.75" customHeight="1" x14ac:dyDescent="0.3">
      <c r="A94" s="2" t="s">
        <v>408</v>
      </c>
      <c r="B94" s="2" t="s">
        <v>14</v>
      </c>
      <c r="C94" s="2" t="s">
        <v>409</v>
      </c>
      <c r="D94" s="2" t="s">
        <v>52</v>
      </c>
      <c r="E94" s="2" t="s">
        <v>132</v>
      </c>
      <c r="F94" s="2">
        <v>1048</v>
      </c>
      <c r="G94" s="2">
        <v>374</v>
      </c>
      <c r="H94" s="2">
        <v>450</v>
      </c>
      <c r="I94" s="2">
        <v>9432</v>
      </c>
      <c r="J94" s="2">
        <v>8882</v>
      </c>
      <c r="K94" s="2">
        <v>158</v>
      </c>
      <c r="L94" s="2" t="s">
        <v>30</v>
      </c>
      <c r="M94" s="2" t="s">
        <v>31</v>
      </c>
      <c r="N94">
        <f t="shared" si="1"/>
        <v>1872</v>
      </c>
      <c r="P94" s="8" t="s">
        <v>444</v>
      </c>
      <c r="Q94">
        <v>1814</v>
      </c>
      <c r="R94">
        <v>653</v>
      </c>
      <c r="S94">
        <v>363</v>
      </c>
      <c r="T94">
        <v>2830</v>
      </c>
      <c r="V94" t="s">
        <v>482</v>
      </c>
      <c r="W94">
        <v>400</v>
      </c>
      <c r="X94">
        <v>680</v>
      </c>
      <c r="Y94">
        <v>434</v>
      </c>
      <c r="Z94">
        <v>1514</v>
      </c>
    </row>
    <row r="95" spans="1:26" ht="15.75" customHeight="1" x14ac:dyDescent="0.3">
      <c r="A95" s="2" t="s">
        <v>415</v>
      </c>
      <c r="B95" s="2" t="s">
        <v>43</v>
      </c>
      <c r="C95" s="2" t="s">
        <v>416</v>
      </c>
      <c r="D95" s="2" t="s">
        <v>52</v>
      </c>
      <c r="E95" s="2" t="s">
        <v>59</v>
      </c>
      <c r="F95" s="2">
        <v>1871</v>
      </c>
      <c r="G95" s="2">
        <v>252</v>
      </c>
      <c r="H95" s="2">
        <v>335</v>
      </c>
      <c r="I95" s="2">
        <v>29936</v>
      </c>
      <c r="J95" s="2">
        <v>29576</v>
      </c>
      <c r="K95" s="2">
        <v>288</v>
      </c>
      <c r="L95" s="2" t="s">
        <v>37</v>
      </c>
      <c r="M95" s="2" t="s">
        <v>31</v>
      </c>
      <c r="N95">
        <f t="shared" si="1"/>
        <v>2458</v>
      </c>
      <c r="P95" s="8" t="s">
        <v>209</v>
      </c>
      <c r="Q95">
        <v>4053</v>
      </c>
      <c r="R95">
        <v>1069</v>
      </c>
      <c r="S95">
        <v>616</v>
      </c>
      <c r="T95">
        <v>5738</v>
      </c>
      <c r="V95" t="s">
        <v>526</v>
      </c>
      <c r="W95">
        <v>3641</v>
      </c>
      <c r="X95">
        <v>226</v>
      </c>
      <c r="Y95">
        <v>46</v>
      </c>
      <c r="Z95">
        <v>3913</v>
      </c>
    </row>
    <row r="96" spans="1:26" ht="15.75" customHeight="1" x14ac:dyDescent="0.3">
      <c r="A96" s="2" t="s">
        <v>419</v>
      </c>
      <c r="B96" s="2" t="s">
        <v>33</v>
      </c>
      <c r="C96" s="2" t="s">
        <v>336</v>
      </c>
      <c r="D96" s="2" t="s">
        <v>45</v>
      </c>
      <c r="E96" s="2" t="s">
        <v>88</v>
      </c>
      <c r="F96" s="2">
        <v>2234</v>
      </c>
      <c r="G96" s="2">
        <v>653</v>
      </c>
      <c r="H96" s="2">
        <v>432</v>
      </c>
      <c r="I96" s="2">
        <v>11170</v>
      </c>
      <c r="J96" s="2">
        <v>10569</v>
      </c>
      <c r="K96" s="2">
        <v>198</v>
      </c>
      <c r="L96" s="2" t="s">
        <v>62</v>
      </c>
      <c r="M96" s="2" t="s">
        <v>31</v>
      </c>
      <c r="N96">
        <f t="shared" si="1"/>
        <v>3319</v>
      </c>
      <c r="P96" s="8" t="s">
        <v>482</v>
      </c>
      <c r="Q96">
        <v>400</v>
      </c>
      <c r="R96">
        <v>680</v>
      </c>
      <c r="S96">
        <v>434</v>
      </c>
      <c r="T96">
        <v>1514</v>
      </c>
      <c r="V96" t="s">
        <v>218</v>
      </c>
      <c r="W96">
        <v>1094</v>
      </c>
      <c r="X96">
        <v>472</v>
      </c>
      <c r="Y96">
        <v>21</v>
      </c>
      <c r="Z96">
        <v>1587</v>
      </c>
    </row>
    <row r="97" spans="1:26" ht="15.75" customHeight="1" x14ac:dyDescent="0.3">
      <c r="A97" s="2" t="s">
        <v>423</v>
      </c>
      <c r="B97" s="2" t="s">
        <v>14</v>
      </c>
      <c r="C97" s="2" t="s">
        <v>424</v>
      </c>
      <c r="D97" s="2" t="s">
        <v>45</v>
      </c>
      <c r="E97" s="2" t="s">
        <v>49</v>
      </c>
      <c r="F97" s="2">
        <v>4274</v>
      </c>
      <c r="G97" s="2">
        <v>340</v>
      </c>
      <c r="H97" s="2">
        <v>281</v>
      </c>
      <c r="I97" s="2">
        <v>34192</v>
      </c>
      <c r="J97" s="2">
        <v>33446</v>
      </c>
      <c r="K97" s="2">
        <v>129</v>
      </c>
      <c r="L97" s="2" t="s">
        <v>421</v>
      </c>
      <c r="M97" s="2" t="s">
        <v>31</v>
      </c>
      <c r="N97">
        <f t="shared" si="1"/>
        <v>4895</v>
      </c>
      <c r="P97" s="8" t="s">
        <v>526</v>
      </c>
      <c r="Q97">
        <v>3641</v>
      </c>
      <c r="R97">
        <v>226</v>
      </c>
      <c r="S97">
        <v>46</v>
      </c>
      <c r="T97">
        <v>3913</v>
      </c>
      <c r="V97" t="s">
        <v>523</v>
      </c>
      <c r="W97">
        <v>3575</v>
      </c>
      <c r="X97">
        <v>749</v>
      </c>
      <c r="Y97">
        <v>111</v>
      </c>
      <c r="Z97">
        <v>4435</v>
      </c>
    </row>
    <row r="98" spans="1:26" ht="15.75" customHeight="1" x14ac:dyDescent="0.3">
      <c r="A98" s="2" t="s">
        <v>447</v>
      </c>
      <c r="B98" s="2" t="s">
        <v>43</v>
      </c>
      <c r="C98" s="2" t="s">
        <v>448</v>
      </c>
      <c r="D98" s="2" t="s">
        <v>52</v>
      </c>
      <c r="E98" s="2" t="s">
        <v>59</v>
      </c>
      <c r="F98" s="2">
        <v>602</v>
      </c>
      <c r="G98" s="2">
        <v>594</v>
      </c>
      <c r="H98" s="2">
        <v>156</v>
      </c>
      <c r="I98" s="2">
        <v>4214</v>
      </c>
      <c r="J98" s="2">
        <v>3363</v>
      </c>
      <c r="K98" s="2">
        <v>164</v>
      </c>
      <c r="L98" s="2" t="s">
        <v>30</v>
      </c>
      <c r="M98" s="2" t="s">
        <v>31</v>
      </c>
      <c r="N98">
        <f t="shared" si="1"/>
        <v>1352</v>
      </c>
      <c r="P98" s="8" t="s">
        <v>218</v>
      </c>
      <c r="Q98">
        <v>1094</v>
      </c>
      <c r="R98">
        <v>472</v>
      </c>
      <c r="S98">
        <v>21</v>
      </c>
      <c r="T98">
        <v>1587</v>
      </c>
      <c r="V98" t="s">
        <v>199</v>
      </c>
      <c r="W98">
        <v>8576</v>
      </c>
      <c r="X98">
        <v>1409</v>
      </c>
      <c r="Y98">
        <v>629</v>
      </c>
      <c r="Z98">
        <v>10614</v>
      </c>
    </row>
    <row r="99" spans="1:26" ht="15.75" customHeight="1" x14ac:dyDescent="0.3">
      <c r="A99" s="2" t="s">
        <v>452</v>
      </c>
      <c r="B99" s="2" t="s">
        <v>33</v>
      </c>
      <c r="C99" s="2" t="s">
        <v>453</v>
      </c>
      <c r="D99" s="2" t="s">
        <v>22</v>
      </c>
      <c r="E99" s="2" t="s">
        <v>113</v>
      </c>
      <c r="F99" s="2">
        <v>246</v>
      </c>
      <c r="G99" s="2">
        <v>149</v>
      </c>
      <c r="H99" s="2">
        <v>130</v>
      </c>
      <c r="I99" s="2">
        <v>4674</v>
      </c>
      <c r="J99" s="2">
        <v>4390</v>
      </c>
      <c r="K99" s="2">
        <v>217</v>
      </c>
      <c r="L99" s="2" t="s">
        <v>62</v>
      </c>
      <c r="M99" s="2" t="s">
        <v>31</v>
      </c>
      <c r="N99">
        <f t="shared" si="1"/>
        <v>525</v>
      </c>
      <c r="P99" s="8" t="s">
        <v>523</v>
      </c>
      <c r="Q99">
        <v>3575</v>
      </c>
      <c r="R99">
        <v>749</v>
      </c>
      <c r="S99">
        <v>111</v>
      </c>
      <c r="T99">
        <v>4435</v>
      </c>
      <c r="V99" t="s">
        <v>212</v>
      </c>
      <c r="W99">
        <v>1816</v>
      </c>
      <c r="X99">
        <v>29</v>
      </c>
      <c r="Y99">
        <v>41</v>
      </c>
      <c r="Z99">
        <v>1886</v>
      </c>
    </row>
    <row r="100" spans="1:26" ht="15.75" customHeight="1" x14ac:dyDescent="0.3">
      <c r="A100" s="2" t="s">
        <v>457</v>
      </c>
      <c r="B100" s="2" t="s">
        <v>43</v>
      </c>
      <c r="C100" s="2" t="s">
        <v>315</v>
      </c>
      <c r="D100" s="2" t="s">
        <v>16</v>
      </c>
      <c r="E100" s="2" t="s">
        <v>65</v>
      </c>
      <c r="F100" s="2">
        <v>3663</v>
      </c>
      <c r="G100" s="2">
        <v>17</v>
      </c>
      <c r="H100" s="2">
        <v>295</v>
      </c>
      <c r="I100" s="2">
        <v>51282</v>
      </c>
      <c r="J100" s="2">
        <v>50567</v>
      </c>
      <c r="K100" s="2">
        <v>84</v>
      </c>
      <c r="L100" s="2" t="s">
        <v>37</v>
      </c>
      <c r="M100" s="2" t="s">
        <v>31</v>
      </c>
      <c r="N100">
        <f t="shared" si="1"/>
        <v>3975</v>
      </c>
      <c r="P100" s="8" t="s">
        <v>199</v>
      </c>
      <c r="Q100">
        <v>8576</v>
      </c>
      <c r="R100">
        <v>1409</v>
      </c>
      <c r="S100">
        <v>629</v>
      </c>
      <c r="T100">
        <v>10614</v>
      </c>
      <c r="V100" t="s">
        <v>168</v>
      </c>
      <c r="W100">
        <v>19777</v>
      </c>
      <c r="X100">
        <v>4227</v>
      </c>
      <c r="Y100">
        <v>1859</v>
      </c>
      <c r="Z100">
        <v>25863</v>
      </c>
    </row>
    <row r="101" spans="1:26" ht="15.75" customHeight="1" x14ac:dyDescent="0.3">
      <c r="A101" s="2" t="s">
        <v>464</v>
      </c>
      <c r="B101" s="2" t="s">
        <v>43</v>
      </c>
      <c r="C101" s="2" t="s">
        <v>392</v>
      </c>
      <c r="D101" s="2" t="s">
        <v>52</v>
      </c>
      <c r="E101" s="2" t="s">
        <v>59</v>
      </c>
      <c r="F101" s="2">
        <v>3196</v>
      </c>
      <c r="G101" s="2">
        <v>941</v>
      </c>
      <c r="H101" s="2">
        <v>376</v>
      </c>
      <c r="I101" s="2">
        <v>35156</v>
      </c>
      <c r="J101" s="2">
        <v>34444</v>
      </c>
      <c r="K101" s="2">
        <v>241</v>
      </c>
      <c r="L101" s="2" t="s">
        <v>30</v>
      </c>
      <c r="M101" s="2" t="s">
        <v>31</v>
      </c>
      <c r="N101">
        <f t="shared" si="1"/>
        <v>4513</v>
      </c>
      <c r="P101" s="8" t="s">
        <v>212</v>
      </c>
      <c r="Q101">
        <v>1816</v>
      </c>
      <c r="R101">
        <v>29</v>
      </c>
      <c r="S101">
        <v>41</v>
      </c>
      <c r="T101">
        <v>1886</v>
      </c>
      <c r="V101" t="s">
        <v>341</v>
      </c>
      <c r="W101">
        <v>11904</v>
      </c>
      <c r="X101">
        <v>2579</v>
      </c>
      <c r="Y101">
        <v>693</v>
      </c>
      <c r="Z101">
        <v>15176</v>
      </c>
    </row>
    <row r="102" spans="1:26" ht="15.75" customHeight="1" x14ac:dyDescent="0.3">
      <c r="A102" s="2" t="s">
        <v>471</v>
      </c>
      <c r="B102" s="2" t="s">
        <v>14</v>
      </c>
      <c r="C102" s="2" t="s">
        <v>77</v>
      </c>
      <c r="D102" s="2" t="s">
        <v>45</v>
      </c>
      <c r="E102" s="2" t="s">
        <v>49</v>
      </c>
      <c r="F102" s="2">
        <v>929</v>
      </c>
      <c r="G102" s="2">
        <v>192</v>
      </c>
      <c r="H102" s="2">
        <v>322</v>
      </c>
      <c r="I102" s="2">
        <v>16722</v>
      </c>
      <c r="J102" s="2">
        <v>15996</v>
      </c>
      <c r="K102" s="2">
        <v>145</v>
      </c>
      <c r="L102" s="2" t="s">
        <v>175</v>
      </c>
      <c r="M102" s="2" t="s">
        <v>31</v>
      </c>
      <c r="N102">
        <f t="shared" si="1"/>
        <v>1443</v>
      </c>
      <c r="P102" s="8" t="s">
        <v>168</v>
      </c>
      <c r="Q102">
        <v>19777</v>
      </c>
      <c r="R102">
        <v>4227</v>
      </c>
      <c r="S102">
        <v>1859</v>
      </c>
      <c r="T102">
        <v>25863</v>
      </c>
      <c r="V102" t="s">
        <v>73</v>
      </c>
      <c r="W102">
        <v>8191</v>
      </c>
      <c r="X102">
        <v>1055</v>
      </c>
      <c r="Y102">
        <v>414</v>
      </c>
      <c r="Z102">
        <v>9660</v>
      </c>
    </row>
    <row r="103" spans="1:26" ht="15.75" customHeight="1" x14ac:dyDescent="0.3">
      <c r="A103" s="2" t="s">
        <v>474</v>
      </c>
      <c r="B103" s="2" t="s">
        <v>43</v>
      </c>
      <c r="C103" s="2" t="s">
        <v>228</v>
      </c>
      <c r="D103" s="2" t="s">
        <v>16</v>
      </c>
      <c r="E103" s="2" t="s">
        <v>65</v>
      </c>
      <c r="F103" s="2">
        <v>4767</v>
      </c>
      <c r="G103" s="2">
        <v>190</v>
      </c>
      <c r="H103" s="2">
        <v>340</v>
      </c>
      <c r="I103" s="2">
        <v>28602</v>
      </c>
      <c r="J103" s="2">
        <v>28044</v>
      </c>
      <c r="K103" s="2">
        <v>210</v>
      </c>
      <c r="L103" s="2" t="s">
        <v>37</v>
      </c>
      <c r="M103" s="2" t="s">
        <v>31</v>
      </c>
      <c r="N103">
        <f t="shared" si="1"/>
        <v>5297</v>
      </c>
      <c r="P103" s="8" t="s">
        <v>341</v>
      </c>
      <c r="Q103">
        <v>11904</v>
      </c>
      <c r="R103">
        <v>2579</v>
      </c>
      <c r="S103">
        <v>693</v>
      </c>
      <c r="T103">
        <v>15176</v>
      </c>
      <c r="V103" t="s">
        <v>478</v>
      </c>
      <c r="W103">
        <v>4661</v>
      </c>
      <c r="X103">
        <v>935</v>
      </c>
      <c r="Y103">
        <v>433</v>
      </c>
      <c r="Z103">
        <v>6029</v>
      </c>
    </row>
    <row r="104" spans="1:26" ht="15.75" customHeight="1" x14ac:dyDescent="0.3">
      <c r="A104" s="2" t="s">
        <v>477</v>
      </c>
      <c r="B104" s="2" t="s">
        <v>27</v>
      </c>
      <c r="C104" s="2" t="s">
        <v>478</v>
      </c>
      <c r="D104" s="2" t="s">
        <v>74</v>
      </c>
      <c r="E104" s="2" t="s">
        <v>219</v>
      </c>
      <c r="F104" s="2">
        <v>4661</v>
      </c>
      <c r="G104" s="2">
        <v>935</v>
      </c>
      <c r="H104" s="2">
        <v>433</v>
      </c>
      <c r="I104" s="2">
        <v>23305</v>
      </c>
      <c r="J104" s="2">
        <v>22583</v>
      </c>
      <c r="K104" s="2">
        <v>63</v>
      </c>
      <c r="L104" s="2" t="s">
        <v>62</v>
      </c>
      <c r="M104" s="2" t="s">
        <v>31</v>
      </c>
      <c r="N104">
        <f t="shared" si="1"/>
        <v>6029</v>
      </c>
      <c r="P104" s="8" t="s">
        <v>73</v>
      </c>
      <c r="Q104">
        <v>8191</v>
      </c>
      <c r="R104">
        <v>1055</v>
      </c>
      <c r="S104">
        <v>414</v>
      </c>
      <c r="T104">
        <v>9660</v>
      </c>
      <c r="V104" t="s">
        <v>507</v>
      </c>
      <c r="W104">
        <v>4853</v>
      </c>
      <c r="X104">
        <v>837</v>
      </c>
      <c r="Y104">
        <v>340</v>
      </c>
      <c r="Z104">
        <v>6030</v>
      </c>
    </row>
    <row r="105" spans="1:26" ht="15.75" customHeight="1" x14ac:dyDescent="0.3">
      <c r="A105" s="2" t="s">
        <v>491</v>
      </c>
      <c r="B105" s="2" t="s">
        <v>43</v>
      </c>
      <c r="C105" s="2" t="s">
        <v>364</v>
      </c>
      <c r="D105" s="2" t="s">
        <v>45</v>
      </c>
      <c r="E105" s="2" t="s">
        <v>46</v>
      </c>
      <c r="F105" s="2">
        <v>2089</v>
      </c>
      <c r="G105" s="2">
        <v>476</v>
      </c>
      <c r="H105" s="2">
        <v>69</v>
      </c>
      <c r="I105" s="2">
        <v>16712</v>
      </c>
      <c r="J105" s="2">
        <v>16309</v>
      </c>
      <c r="K105" s="2">
        <v>64</v>
      </c>
      <c r="L105" s="2" t="s">
        <v>62</v>
      </c>
      <c r="M105" s="2" t="s">
        <v>31</v>
      </c>
      <c r="N105">
        <f t="shared" si="1"/>
        <v>2634</v>
      </c>
      <c r="P105" s="8" t="s">
        <v>478</v>
      </c>
      <c r="Q105">
        <v>4661</v>
      </c>
      <c r="R105">
        <v>935</v>
      </c>
      <c r="S105">
        <v>433</v>
      </c>
      <c r="T105">
        <v>6029</v>
      </c>
      <c r="V105" t="s">
        <v>201</v>
      </c>
      <c r="W105">
        <v>6784</v>
      </c>
      <c r="X105">
        <v>949</v>
      </c>
      <c r="Y105">
        <v>626</v>
      </c>
      <c r="Z105">
        <v>8359</v>
      </c>
    </row>
    <row r="106" spans="1:26" ht="15.75" customHeight="1" x14ac:dyDescent="0.3">
      <c r="A106" s="2" t="s">
        <v>503</v>
      </c>
      <c r="B106" s="2" t="s">
        <v>33</v>
      </c>
      <c r="C106" s="2" t="s">
        <v>504</v>
      </c>
      <c r="D106" s="2" t="s">
        <v>35</v>
      </c>
      <c r="E106" s="2" t="s">
        <v>36</v>
      </c>
      <c r="F106" s="2">
        <v>4332</v>
      </c>
      <c r="G106" s="2">
        <v>771</v>
      </c>
      <c r="H106" s="2">
        <v>219</v>
      </c>
      <c r="I106" s="2">
        <v>60648</v>
      </c>
      <c r="J106" s="2">
        <v>60397</v>
      </c>
      <c r="K106" s="2">
        <v>10</v>
      </c>
      <c r="L106" s="2" t="s">
        <v>505</v>
      </c>
      <c r="M106" s="2" t="s">
        <v>31</v>
      </c>
      <c r="N106">
        <f t="shared" si="1"/>
        <v>5322</v>
      </c>
      <c r="P106" s="8" t="s">
        <v>507</v>
      </c>
      <c r="Q106">
        <v>4853</v>
      </c>
      <c r="R106">
        <v>837</v>
      </c>
      <c r="S106">
        <v>340</v>
      </c>
      <c r="T106">
        <v>6030</v>
      </c>
      <c r="V106" t="s">
        <v>313</v>
      </c>
      <c r="W106">
        <v>2746</v>
      </c>
      <c r="X106">
        <v>156</v>
      </c>
      <c r="Y106">
        <v>203</v>
      </c>
      <c r="Z106">
        <v>3105</v>
      </c>
    </row>
    <row r="107" spans="1:26" ht="15.75" customHeight="1" x14ac:dyDescent="0.3">
      <c r="A107" s="2" t="s">
        <v>515</v>
      </c>
      <c r="B107" s="2" t="s">
        <v>43</v>
      </c>
      <c r="C107" s="2" t="s">
        <v>129</v>
      </c>
      <c r="D107" s="2" t="s">
        <v>35</v>
      </c>
      <c r="E107" s="2" t="s">
        <v>71</v>
      </c>
      <c r="F107" s="2">
        <v>4182</v>
      </c>
      <c r="G107" s="2">
        <v>640</v>
      </c>
      <c r="H107" s="2">
        <v>240</v>
      </c>
      <c r="I107" s="2">
        <v>50184</v>
      </c>
      <c r="J107" s="2">
        <v>49351</v>
      </c>
      <c r="K107" s="2">
        <v>10</v>
      </c>
      <c r="L107" s="2" t="s">
        <v>30</v>
      </c>
      <c r="M107" s="2" t="s">
        <v>31</v>
      </c>
      <c r="N107">
        <f t="shared" si="1"/>
        <v>5062</v>
      </c>
      <c r="P107" s="8" t="s">
        <v>201</v>
      </c>
      <c r="Q107">
        <v>6784</v>
      </c>
      <c r="R107">
        <v>949</v>
      </c>
      <c r="S107">
        <v>626</v>
      </c>
      <c r="T107">
        <v>8359</v>
      </c>
      <c r="V107" t="s">
        <v>44</v>
      </c>
      <c r="W107">
        <v>2945</v>
      </c>
      <c r="X107">
        <v>930</v>
      </c>
      <c r="Y107">
        <v>355</v>
      </c>
      <c r="Z107">
        <v>4230</v>
      </c>
    </row>
    <row r="108" spans="1:26" ht="15.75" customHeight="1" x14ac:dyDescent="0.3">
      <c r="A108" s="2" t="s">
        <v>521</v>
      </c>
      <c r="B108" s="2" t="s">
        <v>27</v>
      </c>
      <c r="C108" s="2" t="s">
        <v>414</v>
      </c>
      <c r="D108" s="2" t="s">
        <v>16</v>
      </c>
      <c r="E108" s="2" t="s">
        <v>29</v>
      </c>
      <c r="F108" s="2">
        <v>3774</v>
      </c>
      <c r="G108" s="2">
        <v>239</v>
      </c>
      <c r="H108" s="2">
        <v>39</v>
      </c>
      <c r="I108" s="2">
        <v>60384</v>
      </c>
      <c r="J108" s="2">
        <v>59490</v>
      </c>
      <c r="K108" s="2">
        <v>241</v>
      </c>
      <c r="L108" s="2" t="s">
        <v>30</v>
      </c>
      <c r="M108" s="2" t="s">
        <v>31</v>
      </c>
      <c r="N108">
        <f t="shared" si="1"/>
        <v>4052</v>
      </c>
      <c r="P108" s="8" t="s">
        <v>313</v>
      </c>
      <c r="Q108">
        <v>2746</v>
      </c>
      <c r="R108">
        <v>156</v>
      </c>
      <c r="S108">
        <v>203</v>
      </c>
      <c r="T108">
        <v>3105</v>
      </c>
      <c r="V108" t="s">
        <v>142</v>
      </c>
      <c r="W108">
        <v>3371</v>
      </c>
      <c r="X108">
        <v>106</v>
      </c>
      <c r="Y108">
        <v>327</v>
      </c>
      <c r="Z108">
        <v>3804</v>
      </c>
    </row>
    <row r="109" spans="1:26" ht="15.75" customHeight="1" x14ac:dyDescent="0.3">
      <c r="A109" s="2" t="s">
        <v>524</v>
      </c>
      <c r="B109" s="2" t="s">
        <v>33</v>
      </c>
      <c r="C109" s="2" t="s">
        <v>490</v>
      </c>
      <c r="D109" s="2" t="s">
        <v>22</v>
      </c>
      <c r="E109" s="2" t="s">
        <v>113</v>
      </c>
      <c r="F109" s="2">
        <v>4941</v>
      </c>
      <c r="G109" s="2">
        <v>414</v>
      </c>
      <c r="H109" s="2">
        <v>266</v>
      </c>
      <c r="I109" s="2">
        <v>39528</v>
      </c>
      <c r="J109" s="2">
        <v>39154</v>
      </c>
      <c r="K109" s="2">
        <v>217</v>
      </c>
      <c r="L109" s="2" t="s">
        <v>30</v>
      </c>
      <c r="M109" s="2" t="s">
        <v>31</v>
      </c>
      <c r="N109">
        <f t="shared" si="1"/>
        <v>5621</v>
      </c>
      <c r="P109" s="8" t="s">
        <v>44</v>
      </c>
      <c r="Q109">
        <v>2945</v>
      </c>
      <c r="R109">
        <v>930</v>
      </c>
      <c r="S109">
        <v>355</v>
      </c>
      <c r="T109">
        <v>4230</v>
      </c>
      <c r="V109" t="s">
        <v>282</v>
      </c>
      <c r="W109">
        <v>6157</v>
      </c>
      <c r="X109">
        <v>1165</v>
      </c>
      <c r="Y109">
        <v>612</v>
      </c>
      <c r="Z109">
        <v>7934</v>
      </c>
    </row>
    <row r="110" spans="1:26" ht="15.75" customHeight="1" x14ac:dyDescent="0.3">
      <c r="A110" s="2" t="s">
        <v>528</v>
      </c>
      <c r="B110" s="2" t="s">
        <v>43</v>
      </c>
      <c r="C110" s="2" t="s">
        <v>501</v>
      </c>
      <c r="D110" s="2" t="s">
        <v>16</v>
      </c>
      <c r="E110" s="2" t="s">
        <v>65</v>
      </c>
      <c r="F110" s="2">
        <v>1741</v>
      </c>
      <c r="G110" s="2">
        <v>831</v>
      </c>
      <c r="H110" s="2">
        <v>345</v>
      </c>
      <c r="I110" s="2">
        <v>17410</v>
      </c>
      <c r="J110" s="2">
        <v>16844</v>
      </c>
      <c r="K110" s="2">
        <v>58</v>
      </c>
      <c r="L110" s="2" t="s">
        <v>37</v>
      </c>
      <c r="M110" s="2" t="s">
        <v>31</v>
      </c>
      <c r="N110">
        <f t="shared" si="1"/>
        <v>2917</v>
      </c>
      <c r="P110" s="8" t="s">
        <v>142</v>
      </c>
      <c r="Q110">
        <v>3371</v>
      </c>
      <c r="R110">
        <v>106</v>
      </c>
      <c r="S110">
        <v>327</v>
      </c>
      <c r="T110">
        <v>3804</v>
      </c>
      <c r="V110" t="s">
        <v>520</v>
      </c>
      <c r="W110">
        <v>4561</v>
      </c>
      <c r="X110">
        <v>51</v>
      </c>
      <c r="Y110">
        <v>441</v>
      </c>
      <c r="Z110">
        <v>5053</v>
      </c>
    </row>
    <row r="111" spans="1:26" ht="15.75" customHeight="1" x14ac:dyDescent="0.3">
      <c r="A111" s="2" t="s">
        <v>538</v>
      </c>
      <c r="B111" s="2" t="s">
        <v>33</v>
      </c>
      <c r="C111" s="2" t="s">
        <v>539</v>
      </c>
      <c r="D111" s="2" t="s">
        <v>74</v>
      </c>
      <c r="E111" s="2" t="s">
        <v>85</v>
      </c>
      <c r="F111" s="2">
        <v>1488</v>
      </c>
      <c r="G111" s="2">
        <v>417</v>
      </c>
      <c r="H111" s="2">
        <v>168</v>
      </c>
      <c r="I111" s="2">
        <v>19344</v>
      </c>
      <c r="J111" s="2">
        <v>18395</v>
      </c>
      <c r="K111" s="2">
        <v>30</v>
      </c>
      <c r="L111" s="2" t="s">
        <v>62</v>
      </c>
      <c r="M111" s="2" t="s">
        <v>31</v>
      </c>
      <c r="N111">
        <f t="shared" si="1"/>
        <v>2073</v>
      </c>
      <c r="P111" s="8" t="s">
        <v>282</v>
      </c>
      <c r="Q111">
        <v>6157</v>
      </c>
      <c r="R111">
        <v>1165</v>
      </c>
      <c r="S111">
        <v>612</v>
      </c>
      <c r="T111">
        <v>7934</v>
      </c>
      <c r="V111" t="s">
        <v>94</v>
      </c>
      <c r="W111">
        <v>6269</v>
      </c>
      <c r="X111">
        <v>692</v>
      </c>
      <c r="Y111">
        <v>541</v>
      </c>
      <c r="Z111">
        <v>7502</v>
      </c>
    </row>
    <row r="112" spans="1:26" ht="15.75" customHeight="1" x14ac:dyDescent="0.3">
      <c r="A112" s="2" t="s">
        <v>544</v>
      </c>
      <c r="B112" s="2" t="s">
        <v>27</v>
      </c>
      <c r="C112" s="2" t="s">
        <v>545</v>
      </c>
      <c r="D112" s="2" t="s">
        <v>74</v>
      </c>
      <c r="E112" s="2" t="s">
        <v>219</v>
      </c>
      <c r="F112" s="2">
        <v>3389</v>
      </c>
      <c r="G112" s="2">
        <v>344</v>
      </c>
      <c r="H112" s="2">
        <v>229</v>
      </c>
      <c r="I112" s="2">
        <v>20334</v>
      </c>
      <c r="J112" s="2">
        <v>19443</v>
      </c>
      <c r="K112" s="2">
        <v>228</v>
      </c>
      <c r="L112" s="2" t="s">
        <v>62</v>
      </c>
      <c r="M112" s="2" t="s">
        <v>31</v>
      </c>
      <c r="N112">
        <f t="shared" si="1"/>
        <v>3962</v>
      </c>
      <c r="P112" s="8" t="s">
        <v>520</v>
      </c>
      <c r="Q112">
        <v>4561</v>
      </c>
      <c r="R112">
        <v>51</v>
      </c>
      <c r="S112">
        <v>441</v>
      </c>
      <c r="T112">
        <v>5053</v>
      </c>
      <c r="V112" t="s">
        <v>205</v>
      </c>
      <c r="W112">
        <v>3897</v>
      </c>
      <c r="X112">
        <v>1082</v>
      </c>
      <c r="Y112">
        <v>324</v>
      </c>
      <c r="Z112">
        <v>5303</v>
      </c>
    </row>
    <row r="113" spans="1:26" ht="15.75" customHeight="1" x14ac:dyDescent="0.3">
      <c r="A113" s="2" t="s">
        <v>547</v>
      </c>
      <c r="B113" s="2" t="s">
        <v>27</v>
      </c>
      <c r="C113" s="2" t="s">
        <v>548</v>
      </c>
      <c r="D113" s="2" t="s">
        <v>45</v>
      </c>
      <c r="E113" s="2" t="s">
        <v>68</v>
      </c>
      <c r="F113" s="2">
        <v>4780</v>
      </c>
      <c r="G113" s="2">
        <v>691</v>
      </c>
      <c r="H113" s="2">
        <v>380</v>
      </c>
      <c r="I113" s="2">
        <v>86040</v>
      </c>
      <c r="J113" s="2">
        <v>85743</v>
      </c>
      <c r="K113" s="2">
        <v>262</v>
      </c>
      <c r="L113" s="2" t="s">
        <v>62</v>
      </c>
      <c r="M113" s="2" t="s">
        <v>31</v>
      </c>
      <c r="N113">
        <f t="shared" si="1"/>
        <v>5851</v>
      </c>
      <c r="P113" s="8" t="s">
        <v>94</v>
      </c>
      <c r="Q113">
        <v>6269</v>
      </c>
      <c r="R113">
        <v>692</v>
      </c>
      <c r="S113">
        <v>541</v>
      </c>
      <c r="T113">
        <v>7502</v>
      </c>
      <c r="V113" t="s">
        <v>240</v>
      </c>
      <c r="W113">
        <v>3182</v>
      </c>
      <c r="X113">
        <v>559</v>
      </c>
      <c r="Y113">
        <v>160</v>
      </c>
      <c r="Z113">
        <v>3901</v>
      </c>
    </row>
    <row r="114" spans="1:26" ht="15.75" customHeight="1" x14ac:dyDescent="0.3">
      <c r="A114" s="2" t="s">
        <v>557</v>
      </c>
      <c r="B114" s="2" t="s">
        <v>43</v>
      </c>
      <c r="C114" s="2" t="s">
        <v>558</v>
      </c>
      <c r="D114" s="2" t="s">
        <v>45</v>
      </c>
      <c r="E114" s="2" t="s">
        <v>46</v>
      </c>
      <c r="F114" s="2">
        <v>4731</v>
      </c>
      <c r="G114" s="2">
        <v>173</v>
      </c>
      <c r="H114" s="2">
        <v>276</v>
      </c>
      <c r="I114" s="2">
        <v>28386</v>
      </c>
      <c r="J114" s="2">
        <v>28185</v>
      </c>
      <c r="K114" s="2">
        <v>89</v>
      </c>
      <c r="L114" s="2" t="s">
        <v>37</v>
      </c>
      <c r="M114" s="2" t="s">
        <v>31</v>
      </c>
      <c r="N114">
        <f t="shared" si="1"/>
        <v>5180</v>
      </c>
      <c r="P114" s="8" t="s">
        <v>205</v>
      </c>
      <c r="Q114">
        <v>3897</v>
      </c>
      <c r="R114">
        <v>1082</v>
      </c>
      <c r="S114">
        <v>324</v>
      </c>
      <c r="T114">
        <v>5303</v>
      </c>
      <c r="V114" t="s">
        <v>360</v>
      </c>
      <c r="W114">
        <v>5756</v>
      </c>
      <c r="X114">
        <v>1031</v>
      </c>
      <c r="Y114">
        <v>172</v>
      </c>
      <c r="Z114">
        <v>6959</v>
      </c>
    </row>
    <row r="115" spans="1:26" ht="15.75" customHeight="1" x14ac:dyDescent="0.3">
      <c r="A115" s="2" t="s">
        <v>564</v>
      </c>
      <c r="B115" s="2" t="s">
        <v>43</v>
      </c>
      <c r="C115" s="2" t="s">
        <v>73</v>
      </c>
      <c r="D115" s="2" t="s">
        <v>52</v>
      </c>
      <c r="E115" s="2" t="s">
        <v>59</v>
      </c>
      <c r="F115" s="2">
        <v>4303</v>
      </c>
      <c r="G115" s="2">
        <v>451</v>
      </c>
      <c r="H115" s="2">
        <v>286</v>
      </c>
      <c r="I115" s="2">
        <v>86060</v>
      </c>
      <c r="J115" s="2">
        <v>85823</v>
      </c>
      <c r="K115" s="2">
        <v>14</v>
      </c>
      <c r="L115" s="2" t="s">
        <v>30</v>
      </c>
      <c r="M115" s="2" t="s">
        <v>31</v>
      </c>
      <c r="N115">
        <f t="shared" si="1"/>
        <v>5040</v>
      </c>
      <c r="P115" s="8" t="s">
        <v>240</v>
      </c>
      <c r="Q115">
        <v>3182</v>
      </c>
      <c r="R115">
        <v>559</v>
      </c>
      <c r="S115">
        <v>160</v>
      </c>
      <c r="T115">
        <v>3901</v>
      </c>
      <c r="V115" t="s">
        <v>276</v>
      </c>
      <c r="W115">
        <v>4000</v>
      </c>
      <c r="X115">
        <v>689</v>
      </c>
      <c r="Y115">
        <v>488</v>
      </c>
      <c r="Z115">
        <v>5177</v>
      </c>
    </row>
    <row r="116" spans="1:26" ht="15.75" customHeight="1" x14ac:dyDescent="0.3">
      <c r="A116" s="2" t="s">
        <v>565</v>
      </c>
      <c r="B116" s="2" t="s">
        <v>43</v>
      </c>
      <c r="C116" s="2" t="s">
        <v>77</v>
      </c>
      <c r="D116" s="2" t="s">
        <v>52</v>
      </c>
      <c r="E116" s="2" t="s">
        <v>59</v>
      </c>
      <c r="F116" s="2">
        <v>2581</v>
      </c>
      <c r="G116" s="2">
        <v>517</v>
      </c>
      <c r="H116" s="2">
        <v>117</v>
      </c>
      <c r="I116" s="2">
        <v>23229</v>
      </c>
      <c r="J116" s="2">
        <v>22331</v>
      </c>
      <c r="K116" s="2">
        <v>70</v>
      </c>
      <c r="L116" s="2" t="s">
        <v>62</v>
      </c>
      <c r="M116" s="2" t="s">
        <v>31</v>
      </c>
      <c r="N116">
        <f t="shared" si="1"/>
        <v>3215</v>
      </c>
      <c r="P116" s="8" t="s">
        <v>360</v>
      </c>
      <c r="Q116">
        <v>5756</v>
      </c>
      <c r="R116">
        <v>1031</v>
      </c>
      <c r="S116">
        <v>172</v>
      </c>
      <c r="T116">
        <v>6959</v>
      </c>
      <c r="V116" t="s">
        <v>554</v>
      </c>
      <c r="W116">
        <v>880</v>
      </c>
      <c r="X116">
        <v>297</v>
      </c>
      <c r="Y116">
        <v>345</v>
      </c>
      <c r="Z116">
        <v>1522</v>
      </c>
    </row>
    <row r="117" spans="1:26" ht="15.75" customHeight="1" x14ac:dyDescent="0.3">
      <c r="A117" s="2" t="s">
        <v>20</v>
      </c>
      <c r="B117" s="2" t="s">
        <v>14</v>
      </c>
      <c r="C117" s="2" t="s">
        <v>21</v>
      </c>
      <c r="D117" s="2" t="s">
        <v>22</v>
      </c>
      <c r="E117" s="2" t="s">
        <v>23</v>
      </c>
      <c r="F117" s="2">
        <v>4054</v>
      </c>
      <c r="G117" s="2">
        <v>389</v>
      </c>
      <c r="H117" s="2">
        <v>493</v>
      </c>
      <c r="I117" s="2">
        <v>64864</v>
      </c>
      <c r="J117" s="2">
        <v>64383</v>
      </c>
      <c r="K117" s="2">
        <v>117</v>
      </c>
      <c r="L117" s="2" t="s">
        <v>24</v>
      </c>
      <c r="M117" s="2" t="s">
        <v>25</v>
      </c>
      <c r="N117">
        <f t="shared" si="1"/>
        <v>4936</v>
      </c>
      <c r="P117" s="8" t="s">
        <v>276</v>
      </c>
      <c r="Q117">
        <v>4000</v>
      </c>
      <c r="R117">
        <v>689</v>
      </c>
      <c r="S117">
        <v>488</v>
      </c>
      <c r="T117">
        <v>5177</v>
      </c>
      <c r="V117" t="s">
        <v>67</v>
      </c>
      <c r="W117">
        <v>1171</v>
      </c>
      <c r="X117">
        <v>286</v>
      </c>
      <c r="Y117">
        <v>231</v>
      </c>
      <c r="Z117">
        <v>1688</v>
      </c>
    </row>
    <row r="118" spans="1:26" ht="15.75" customHeight="1" x14ac:dyDescent="0.3">
      <c r="A118" s="2" t="s">
        <v>42</v>
      </c>
      <c r="B118" s="2" t="s">
        <v>43</v>
      </c>
      <c r="C118" s="2" t="s">
        <v>44</v>
      </c>
      <c r="D118" s="2" t="s">
        <v>45</v>
      </c>
      <c r="E118" s="2" t="s">
        <v>46</v>
      </c>
      <c r="F118" s="2">
        <v>2945</v>
      </c>
      <c r="G118" s="2">
        <v>930</v>
      </c>
      <c r="H118" s="2">
        <v>355</v>
      </c>
      <c r="I118" s="2">
        <v>23560</v>
      </c>
      <c r="J118" s="2">
        <v>23275</v>
      </c>
      <c r="K118" s="2">
        <v>256</v>
      </c>
      <c r="L118" s="2" t="s">
        <v>30</v>
      </c>
      <c r="M118" s="2" t="s">
        <v>25</v>
      </c>
      <c r="N118">
        <f t="shared" si="1"/>
        <v>4230</v>
      </c>
      <c r="P118" s="8" t="s">
        <v>554</v>
      </c>
      <c r="Q118">
        <v>880</v>
      </c>
      <c r="R118">
        <v>297</v>
      </c>
      <c r="S118">
        <v>345</v>
      </c>
      <c r="T118">
        <v>1522</v>
      </c>
      <c r="V118" t="s">
        <v>418</v>
      </c>
      <c r="W118">
        <v>3773</v>
      </c>
      <c r="X118">
        <v>299</v>
      </c>
      <c r="Y118">
        <v>38</v>
      </c>
      <c r="Z118">
        <v>4110</v>
      </c>
    </row>
    <row r="119" spans="1:26" ht="15.75" customHeight="1" x14ac:dyDescent="0.3">
      <c r="A119" s="2" t="s">
        <v>47</v>
      </c>
      <c r="B119" s="2" t="s">
        <v>14</v>
      </c>
      <c r="C119" s="2" t="s">
        <v>48</v>
      </c>
      <c r="D119" s="2" t="s">
        <v>45</v>
      </c>
      <c r="E119" s="2" t="s">
        <v>49</v>
      </c>
      <c r="F119" s="2">
        <v>3860</v>
      </c>
      <c r="G119" s="2">
        <v>201</v>
      </c>
      <c r="H119" s="2">
        <v>279</v>
      </c>
      <c r="I119" s="2">
        <v>61760</v>
      </c>
      <c r="J119" s="2">
        <v>61660</v>
      </c>
      <c r="K119" s="2">
        <v>235</v>
      </c>
      <c r="L119" s="2" t="s">
        <v>30</v>
      </c>
      <c r="M119" s="2" t="s">
        <v>25</v>
      </c>
      <c r="N119">
        <f t="shared" si="1"/>
        <v>4340</v>
      </c>
      <c r="P119" s="8" t="s">
        <v>67</v>
      </c>
      <c r="Q119">
        <v>1171</v>
      </c>
      <c r="R119">
        <v>286</v>
      </c>
      <c r="S119">
        <v>231</v>
      </c>
      <c r="T119">
        <v>1688</v>
      </c>
      <c r="V119" t="s">
        <v>179</v>
      </c>
      <c r="W119">
        <v>53</v>
      </c>
      <c r="X119">
        <v>81</v>
      </c>
      <c r="Y119">
        <v>379</v>
      </c>
      <c r="Z119">
        <v>513</v>
      </c>
    </row>
    <row r="120" spans="1:26" ht="15.75" customHeight="1" x14ac:dyDescent="0.3">
      <c r="A120" s="2" t="s">
        <v>54</v>
      </c>
      <c r="B120" s="2" t="s">
        <v>43</v>
      </c>
      <c r="C120" s="2" t="s">
        <v>55</v>
      </c>
      <c r="D120" s="2" t="s">
        <v>22</v>
      </c>
      <c r="E120" s="2" t="s">
        <v>56</v>
      </c>
      <c r="F120" s="2">
        <v>3784</v>
      </c>
      <c r="G120" s="2">
        <v>808</v>
      </c>
      <c r="H120" s="2">
        <v>404</v>
      </c>
      <c r="I120" s="2">
        <v>56760</v>
      </c>
      <c r="J120" s="2">
        <v>56343</v>
      </c>
      <c r="K120" s="2">
        <v>131</v>
      </c>
      <c r="L120" s="2" t="s">
        <v>30</v>
      </c>
      <c r="M120" s="2" t="s">
        <v>25</v>
      </c>
      <c r="N120">
        <f t="shared" si="1"/>
        <v>4996</v>
      </c>
      <c r="P120" s="8" t="s">
        <v>418</v>
      </c>
      <c r="Q120">
        <v>3773</v>
      </c>
      <c r="R120">
        <v>299</v>
      </c>
      <c r="S120">
        <v>38</v>
      </c>
      <c r="T120">
        <v>4110</v>
      </c>
      <c r="V120" t="s">
        <v>270</v>
      </c>
      <c r="W120">
        <v>2719</v>
      </c>
      <c r="X120">
        <v>17</v>
      </c>
      <c r="Y120">
        <v>285</v>
      </c>
      <c r="Z120">
        <v>3021</v>
      </c>
    </row>
    <row r="121" spans="1:26" ht="15.75" customHeight="1" x14ac:dyDescent="0.3">
      <c r="A121" s="2" t="s">
        <v>57</v>
      </c>
      <c r="B121" s="2" t="s">
        <v>43</v>
      </c>
      <c r="C121" s="2" t="s">
        <v>58</v>
      </c>
      <c r="D121" s="2" t="s">
        <v>52</v>
      </c>
      <c r="E121" s="2" t="s">
        <v>59</v>
      </c>
      <c r="F121" s="2">
        <v>4241</v>
      </c>
      <c r="G121" s="2">
        <v>902</v>
      </c>
      <c r="H121" s="2">
        <v>47</v>
      </c>
      <c r="I121" s="2">
        <v>72097</v>
      </c>
      <c r="J121" s="2">
        <v>71598</v>
      </c>
      <c r="K121" s="2">
        <v>167</v>
      </c>
      <c r="L121" s="2" t="s">
        <v>30</v>
      </c>
      <c r="M121" s="2" t="s">
        <v>25</v>
      </c>
      <c r="N121">
        <f t="shared" si="1"/>
        <v>5190</v>
      </c>
      <c r="P121" s="8" t="s">
        <v>179</v>
      </c>
      <c r="Q121">
        <v>53</v>
      </c>
      <c r="R121">
        <v>81</v>
      </c>
      <c r="S121">
        <v>379</v>
      </c>
      <c r="T121">
        <v>513</v>
      </c>
      <c r="V121" t="s">
        <v>129</v>
      </c>
      <c r="W121">
        <v>9866</v>
      </c>
      <c r="X121">
        <v>1427</v>
      </c>
      <c r="Y121">
        <v>905</v>
      </c>
      <c r="Z121">
        <v>12198</v>
      </c>
    </row>
    <row r="122" spans="1:26" ht="15.75" customHeight="1" x14ac:dyDescent="0.3">
      <c r="A122" s="2" t="s">
        <v>93</v>
      </c>
      <c r="B122" s="2" t="s">
        <v>43</v>
      </c>
      <c r="C122" s="2" t="s">
        <v>94</v>
      </c>
      <c r="D122" s="2" t="s">
        <v>74</v>
      </c>
      <c r="E122" s="2" t="s">
        <v>75</v>
      </c>
      <c r="F122" s="2">
        <v>1606</v>
      </c>
      <c r="G122" s="2">
        <v>547</v>
      </c>
      <c r="H122" s="2">
        <v>316</v>
      </c>
      <c r="I122" s="2">
        <v>32120</v>
      </c>
      <c r="J122" s="2">
        <v>31736</v>
      </c>
      <c r="K122" s="2">
        <v>225</v>
      </c>
      <c r="L122" s="2" t="s">
        <v>95</v>
      </c>
      <c r="M122" s="2" t="s">
        <v>25</v>
      </c>
      <c r="N122">
        <f t="shared" si="1"/>
        <v>2469</v>
      </c>
      <c r="P122" s="8" t="s">
        <v>270</v>
      </c>
      <c r="Q122">
        <v>2719</v>
      </c>
      <c r="R122">
        <v>17</v>
      </c>
      <c r="S122">
        <v>285</v>
      </c>
      <c r="T122">
        <v>3021</v>
      </c>
      <c r="V122" t="s">
        <v>533</v>
      </c>
      <c r="W122">
        <v>4516</v>
      </c>
      <c r="X122">
        <v>836</v>
      </c>
      <c r="Y122">
        <v>169</v>
      </c>
      <c r="Z122">
        <v>5521</v>
      </c>
    </row>
    <row r="123" spans="1:26" ht="15.75" customHeight="1" x14ac:dyDescent="0.3">
      <c r="A123" s="2" t="s">
        <v>100</v>
      </c>
      <c r="B123" s="2" t="s">
        <v>27</v>
      </c>
      <c r="C123" s="2" t="s">
        <v>101</v>
      </c>
      <c r="D123" s="2" t="s">
        <v>16</v>
      </c>
      <c r="E123" s="2" t="s">
        <v>29</v>
      </c>
      <c r="F123" s="2">
        <v>3009</v>
      </c>
      <c r="G123" s="2">
        <v>413</v>
      </c>
      <c r="H123" s="2">
        <v>358</v>
      </c>
      <c r="I123" s="2">
        <v>42126</v>
      </c>
      <c r="J123" s="2">
        <v>41309</v>
      </c>
      <c r="K123" s="2">
        <v>211</v>
      </c>
      <c r="L123" s="2" t="s">
        <v>62</v>
      </c>
      <c r="M123" s="2" t="s">
        <v>25</v>
      </c>
      <c r="N123">
        <f t="shared" si="1"/>
        <v>3780</v>
      </c>
      <c r="P123" s="8" t="s">
        <v>129</v>
      </c>
      <c r="Q123">
        <v>9866</v>
      </c>
      <c r="R123">
        <v>1427</v>
      </c>
      <c r="S123">
        <v>905</v>
      </c>
      <c r="T123">
        <v>12198</v>
      </c>
      <c r="V123" t="s">
        <v>307</v>
      </c>
      <c r="W123">
        <v>11735</v>
      </c>
      <c r="X123">
        <v>1104</v>
      </c>
      <c r="Y123">
        <v>920</v>
      </c>
      <c r="Z123">
        <v>13759</v>
      </c>
    </row>
    <row r="124" spans="1:26" ht="15.75" customHeight="1" x14ac:dyDescent="0.3">
      <c r="A124" s="2" t="s">
        <v>111</v>
      </c>
      <c r="B124" s="2" t="s">
        <v>33</v>
      </c>
      <c r="C124" s="2" t="s">
        <v>112</v>
      </c>
      <c r="D124" s="2" t="s">
        <v>22</v>
      </c>
      <c r="E124" s="2" t="s">
        <v>113</v>
      </c>
      <c r="F124" s="2">
        <v>438</v>
      </c>
      <c r="G124" s="2">
        <v>153</v>
      </c>
      <c r="H124" s="2">
        <v>275</v>
      </c>
      <c r="I124" s="2">
        <v>3066</v>
      </c>
      <c r="J124" s="2">
        <v>2701</v>
      </c>
      <c r="K124" s="2">
        <v>282</v>
      </c>
      <c r="L124" s="2" t="s">
        <v>30</v>
      </c>
      <c r="M124" s="2" t="s">
        <v>25</v>
      </c>
      <c r="N124">
        <f t="shared" si="1"/>
        <v>866</v>
      </c>
      <c r="P124" s="8" t="s">
        <v>533</v>
      </c>
      <c r="Q124">
        <v>4516</v>
      </c>
      <c r="R124">
        <v>836</v>
      </c>
      <c r="S124">
        <v>169</v>
      </c>
      <c r="T124">
        <v>5521</v>
      </c>
      <c r="V124" t="s">
        <v>399</v>
      </c>
      <c r="W124">
        <v>1176</v>
      </c>
      <c r="X124">
        <v>464</v>
      </c>
      <c r="Y124">
        <v>394</v>
      </c>
      <c r="Z124">
        <v>2034</v>
      </c>
    </row>
    <row r="125" spans="1:26" ht="15.75" customHeight="1" x14ac:dyDescent="0.3">
      <c r="A125" s="2" t="s">
        <v>120</v>
      </c>
      <c r="B125" s="2" t="s">
        <v>33</v>
      </c>
      <c r="C125" s="2" t="s">
        <v>121</v>
      </c>
      <c r="D125" s="2" t="s">
        <v>74</v>
      </c>
      <c r="E125" s="2" t="s">
        <v>85</v>
      </c>
      <c r="F125" s="2">
        <v>3775</v>
      </c>
      <c r="G125" s="2">
        <v>16</v>
      </c>
      <c r="H125" s="2">
        <v>239</v>
      </c>
      <c r="I125" s="2">
        <v>33975</v>
      </c>
      <c r="J125" s="2">
        <v>33310</v>
      </c>
      <c r="K125" s="2">
        <v>271</v>
      </c>
      <c r="L125" s="2" t="s">
        <v>62</v>
      </c>
      <c r="M125" s="2" t="s">
        <v>25</v>
      </c>
      <c r="N125">
        <f t="shared" si="1"/>
        <v>4030</v>
      </c>
      <c r="P125" s="8" t="s">
        <v>307</v>
      </c>
      <c r="Q125">
        <v>11735</v>
      </c>
      <c r="R125">
        <v>1104</v>
      </c>
      <c r="S125">
        <v>920</v>
      </c>
      <c r="T125">
        <v>13759</v>
      </c>
      <c r="V125" t="s">
        <v>121</v>
      </c>
      <c r="W125">
        <v>6284</v>
      </c>
      <c r="X125">
        <v>340</v>
      </c>
      <c r="Y125">
        <v>410</v>
      </c>
      <c r="Z125">
        <v>7034</v>
      </c>
    </row>
    <row r="126" spans="1:26" ht="15.75" customHeight="1" x14ac:dyDescent="0.3">
      <c r="A126" s="2" t="s">
        <v>122</v>
      </c>
      <c r="B126" s="2" t="s">
        <v>33</v>
      </c>
      <c r="C126" s="2" t="s">
        <v>123</v>
      </c>
      <c r="D126" s="2" t="s">
        <v>35</v>
      </c>
      <c r="E126" s="2" t="s">
        <v>36</v>
      </c>
      <c r="F126" s="2">
        <v>4518</v>
      </c>
      <c r="G126" s="2">
        <v>285</v>
      </c>
      <c r="H126" s="2">
        <v>383</v>
      </c>
      <c r="I126" s="2">
        <v>67770</v>
      </c>
      <c r="J126" s="2">
        <v>67621</v>
      </c>
      <c r="K126" s="2">
        <v>31</v>
      </c>
      <c r="L126" s="2" t="s">
        <v>37</v>
      </c>
      <c r="M126" s="2" t="s">
        <v>25</v>
      </c>
      <c r="N126">
        <f t="shared" si="1"/>
        <v>5186</v>
      </c>
      <c r="P126" s="8" t="s">
        <v>399</v>
      </c>
      <c r="Q126">
        <v>1176</v>
      </c>
      <c r="R126">
        <v>464</v>
      </c>
      <c r="S126">
        <v>394</v>
      </c>
      <c r="T126">
        <v>2034</v>
      </c>
      <c r="V126" t="s">
        <v>362</v>
      </c>
      <c r="W126">
        <v>16411</v>
      </c>
      <c r="X126">
        <v>2442</v>
      </c>
      <c r="Y126">
        <v>1096</v>
      </c>
      <c r="Z126">
        <v>19949</v>
      </c>
    </row>
    <row r="127" spans="1:26" ht="15.75" customHeight="1" x14ac:dyDescent="0.3">
      <c r="A127" s="2" t="s">
        <v>124</v>
      </c>
      <c r="B127" s="2" t="s">
        <v>43</v>
      </c>
      <c r="C127" s="2" t="s">
        <v>125</v>
      </c>
      <c r="D127" s="2" t="s">
        <v>45</v>
      </c>
      <c r="E127" s="2" t="s">
        <v>46</v>
      </c>
      <c r="F127" s="2">
        <v>3024</v>
      </c>
      <c r="G127" s="2">
        <v>925</v>
      </c>
      <c r="H127" s="2">
        <v>350</v>
      </c>
      <c r="I127" s="2">
        <v>24192</v>
      </c>
      <c r="J127" s="2">
        <v>23518</v>
      </c>
      <c r="K127" s="2">
        <v>36</v>
      </c>
      <c r="L127" s="2" t="s">
        <v>37</v>
      </c>
      <c r="M127" s="2" t="s">
        <v>25</v>
      </c>
      <c r="N127">
        <f t="shared" si="1"/>
        <v>4299</v>
      </c>
      <c r="P127" s="8" t="s">
        <v>121</v>
      </c>
      <c r="Q127">
        <v>6284</v>
      </c>
      <c r="R127">
        <v>340</v>
      </c>
      <c r="S127">
        <v>410</v>
      </c>
      <c r="T127">
        <v>7034</v>
      </c>
      <c r="V127" t="s">
        <v>370</v>
      </c>
      <c r="W127">
        <v>1330</v>
      </c>
      <c r="X127">
        <v>925</v>
      </c>
      <c r="Y127">
        <v>35</v>
      </c>
      <c r="Z127">
        <v>2290</v>
      </c>
    </row>
    <row r="128" spans="1:26" ht="15.75" customHeight="1" x14ac:dyDescent="0.3">
      <c r="A128" s="2" t="s">
        <v>155</v>
      </c>
      <c r="B128" s="2" t="s">
        <v>43</v>
      </c>
      <c r="C128" s="2" t="s">
        <v>156</v>
      </c>
      <c r="D128" s="2" t="s">
        <v>45</v>
      </c>
      <c r="E128" s="2" t="s">
        <v>46</v>
      </c>
      <c r="F128" s="2">
        <v>2200</v>
      </c>
      <c r="G128" s="2">
        <v>504</v>
      </c>
      <c r="H128" s="2">
        <v>239</v>
      </c>
      <c r="I128" s="2">
        <v>37400</v>
      </c>
      <c r="J128" s="2">
        <v>36938</v>
      </c>
      <c r="K128" s="2">
        <v>225</v>
      </c>
      <c r="L128" s="2" t="s">
        <v>62</v>
      </c>
      <c r="M128" s="2" t="s">
        <v>25</v>
      </c>
      <c r="N128">
        <f t="shared" si="1"/>
        <v>2943</v>
      </c>
      <c r="P128" s="8" t="s">
        <v>362</v>
      </c>
      <c r="Q128">
        <v>16411</v>
      </c>
      <c r="R128">
        <v>2442</v>
      </c>
      <c r="S128">
        <v>1096</v>
      </c>
      <c r="T128">
        <v>19949</v>
      </c>
      <c r="V128" t="s">
        <v>190</v>
      </c>
      <c r="W128">
        <v>2610</v>
      </c>
      <c r="X128">
        <v>126</v>
      </c>
      <c r="Y128">
        <v>288</v>
      </c>
      <c r="Z128">
        <v>3024</v>
      </c>
    </row>
    <row r="129" spans="1:26" ht="15.75" customHeight="1" x14ac:dyDescent="0.3">
      <c r="A129" s="2" t="s">
        <v>161</v>
      </c>
      <c r="B129" s="2" t="s">
        <v>27</v>
      </c>
      <c r="C129" s="2" t="s">
        <v>162</v>
      </c>
      <c r="D129" s="2" t="s">
        <v>45</v>
      </c>
      <c r="E129" s="2" t="s">
        <v>68</v>
      </c>
      <c r="F129" s="2">
        <v>1686</v>
      </c>
      <c r="G129" s="2">
        <v>904</v>
      </c>
      <c r="H129" s="2">
        <v>472</v>
      </c>
      <c r="I129" s="2">
        <v>18546</v>
      </c>
      <c r="J129" s="2">
        <v>18171</v>
      </c>
      <c r="K129" s="2">
        <v>52</v>
      </c>
      <c r="L129" s="2" t="s">
        <v>62</v>
      </c>
      <c r="M129" s="2" t="s">
        <v>25</v>
      </c>
      <c r="N129">
        <f t="shared" si="1"/>
        <v>3062</v>
      </c>
      <c r="P129" s="8" t="s">
        <v>370</v>
      </c>
      <c r="Q129">
        <v>1330</v>
      </c>
      <c r="R129">
        <v>925</v>
      </c>
      <c r="S129">
        <v>35</v>
      </c>
      <c r="T129">
        <v>2290</v>
      </c>
      <c r="V129" t="s">
        <v>221</v>
      </c>
      <c r="W129">
        <v>1841</v>
      </c>
      <c r="X129">
        <v>851</v>
      </c>
      <c r="Y129">
        <v>342</v>
      </c>
      <c r="Z129">
        <v>3034</v>
      </c>
    </row>
    <row r="130" spans="1:26" ht="15.75" customHeight="1" x14ac:dyDescent="0.3">
      <c r="A130" s="2" t="s">
        <v>194</v>
      </c>
      <c r="B130" s="2" t="s">
        <v>27</v>
      </c>
      <c r="C130" s="2" t="s">
        <v>195</v>
      </c>
      <c r="D130" s="2" t="s">
        <v>45</v>
      </c>
      <c r="E130" s="2" t="s">
        <v>68</v>
      </c>
      <c r="F130" s="2">
        <v>2551</v>
      </c>
      <c r="G130" s="2">
        <v>915</v>
      </c>
      <c r="H130" s="2">
        <v>205</v>
      </c>
      <c r="I130" s="2">
        <v>30612</v>
      </c>
      <c r="J130" s="2">
        <v>30360</v>
      </c>
      <c r="K130" s="2">
        <v>227</v>
      </c>
      <c r="L130" s="2" t="s">
        <v>30</v>
      </c>
      <c r="M130" s="2" t="s">
        <v>25</v>
      </c>
      <c r="N130">
        <f t="shared" si="1"/>
        <v>3671</v>
      </c>
      <c r="P130" s="8" t="s">
        <v>190</v>
      </c>
      <c r="Q130">
        <v>2610</v>
      </c>
      <c r="R130">
        <v>126</v>
      </c>
      <c r="S130">
        <v>288</v>
      </c>
      <c r="T130">
        <v>3024</v>
      </c>
      <c r="V130" t="s">
        <v>237</v>
      </c>
      <c r="W130">
        <v>4670</v>
      </c>
      <c r="X130">
        <v>994</v>
      </c>
      <c r="Y130">
        <v>237</v>
      </c>
      <c r="Z130">
        <v>5901</v>
      </c>
    </row>
    <row r="131" spans="1:26" ht="15.75" customHeight="1" x14ac:dyDescent="0.3">
      <c r="A131" s="2" t="s">
        <v>196</v>
      </c>
      <c r="B131" s="2" t="s">
        <v>27</v>
      </c>
      <c r="C131" s="2" t="s">
        <v>197</v>
      </c>
      <c r="D131" s="2" t="s">
        <v>16</v>
      </c>
      <c r="E131" s="2" t="s">
        <v>29</v>
      </c>
      <c r="F131" s="2">
        <v>296</v>
      </c>
      <c r="G131" s="2">
        <v>60</v>
      </c>
      <c r="H131" s="2">
        <v>141</v>
      </c>
      <c r="I131" s="2">
        <v>5624</v>
      </c>
      <c r="J131" s="2">
        <v>5239</v>
      </c>
      <c r="K131" s="2">
        <v>88</v>
      </c>
      <c r="L131" s="2" t="s">
        <v>37</v>
      </c>
      <c r="M131" s="2" t="s">
        <v>25</v>
      </c>
      <c r="N131">
        <f t="shared" ref="N131:N194" si="2">F131+G131+H131</f>
        <v>497</v>
      </c>
      <c r="P131" s="8" t="s">
        <v>221</v>
      </c>
      <c r="Q131">
        <v>1841</v>
      </c>
      <c r="R131">
        <v>851</v>
      </c>
      <c r="S131">
        <v>342</v>
      </c>
      <c r="T131">
        <v>3034</v>
      </c>
      <c r="V131" t="s">
        <v>138</v>
      </c>
      <c r="W131">
        <v>2174</v>
      </c>
      <c r="X131">
        <v>658</v>
      </c>
      <c r="Y131">
        <v>15</v>
      </c>
      <c r="Z131">
        <v>2847</v>
      </c>
    </row>
    <row r="132" spans="1:26" ht="15.75" customHeight="1" x14ac:dyDescent="0.3">
      <c r="A132" s="2" t="s">
        <v>208</v>
      </c>
      <c r="B132" s="2" t="s">
        <v>33</v>
      </c>
      <c r="C132" s="2" t="s">
        <v>209</v>
      </c>
      <c r="D132" s="2" t="s">
        <v>45</v>
      </c>
      <c r="E132" s="2" t="s">
        <v>88</v>
      </c>
      <c r="F132" s="2">
        <v>3068</v>
      </c>
      <c r="G132" s="2">
        <v>137</v>
      </c>
      <c r="H132" s="2">
        <v>329</v>
      </c>
      <c r="I132" s="2">
        <v>39884</v>
      </c>
      <c r="J132" s="2">
        <v>39404</v>
      </c>
      <c r="K132" s="2">
        <v>266</v>
      </c>
      <c r="L132" s="2" t="s">
        <v>37</v>
      </c>
      <c r="M132" s="2" t="s">
        <v>25</v>
      </c>
      <c r="N132">
        <f t="shared" si="2"/>
        <v>3534</v>
      </c>
      <c r="P132" s="8" t="s">
        <v>237</v>
      </c>
      <c r="Q132">
        <v>4670</v>
      </c>
      <c r="R132">
        <v>994</v>
      </c>
      <c r="S132">
        <v>237</v>
      </c>
      <c r="T132">
        <v>5901</v>
      </c>
      <c r="V132" t="s">
        <v>112</v>
      </c>
      <c r="W132">
        <v>438</v>
      </c>
      <c r="X132">
        <v>153</v>
      </c>
      <c r="Y132">
        <v>275</v>
      </c>
      <c r="Z132">
        <v>866</v>
      </c>
    </row>
    <row r="133" spans="1:26" ht="15.75" customHeight="1" x14ac:dyDescent="0.3">
      <c r="A133" s="2" t="s">
        <v>243</v>
      </c>
      <c r="B133" s="2" t="s">
        <v>33</v>
      </c>
      <c r="C133" s="2" t="s">
        <v>244</v>
      </c>
      <c r="D133" s="2" t="s">
        <v>52</v>
      </c>
      <c r="E133" s="2" t="s">
        <v>215</v>
      </c>
      <c r="F133" s="2">
        <v>4739</v>
      </c>
      <c r="G133" s="2">
        <v>527</v>
      </c>
      <c r="H133" s="2">
        <v>135</v>
      </c>
      <c r="I133" s="2">
        <v>61607</v>
      </c>
      <c r="J133" s="2">
        <v>61333</v>
      </c>
      <c r="K133" s="2">
        <v>36</v>
      </c>
      <c r="L133" s="2" t="s">
        <v>95</v>
      </c>
      <c r="M133" s="2" t="s">
        <v>25</v>
      </c>
      <c r="N133">
        <f t="shared" si="2"/>
        <v>5401</v>
      </c>
      <c r="P133" s="8" t="s">
        <v>138</v>
      </c>
      <c r="Q133">
        <v>2174</v>
      </c>
      <c r="R133">
        <v>658</v>
      </c>
      <c r="S133">
        <v>15</v>
      </c>
      <c r="T133">
        <v>2847</v>
      </c>
      <c r="V133" t="s">
        <v>385</v>
      </c>
      <c r="W133">
        <v>360</v>
      </c>
      <c r="X133">
        <v>590</v>
      </c>
      <c r="Y133">
        <v>393</v>
      </c>
      <c r="Z133">
        <v>1343</v>
      </c>
    </row>
    <row r="134" spans="1:26" ht="15.75" customHeight="1" x14ac:dyDescent="0.3">
      <c r="A134" s="2" t="s">
        <v>251</v>
      </c>
      <c r="B134" s="2" t="s">
        <v>14</v>
      </c>
      <c r="C134" s="2" t="s">
        <v>252</v>
      </c>
      <c r="D134" s="2" t="s">
        <v>16</v>
      </c>
      <c r="E134" s="2" t="s">
        <v>17</v>
      </c>
      <c r="F134" s="2">
        <v>1000</v>
      </c>
      <c r="G134" s="2">
        <v>978</v>
      </c>
      <c r="H134" s="2">
        <v>162</v>
      </c>
      <c r="I134" s="2">
        <v>6000</v>
      </c>
      <c r="J134" s="2">
        <v>5221</v>
      </c>
      <c r="K134" s="2">
        <v>223</v>
      </c>
      <c r="L134" s="2" t="s">
        <v>37</v>
      </c>
      <c r="M134" s="2" t="s">
        <v>25</v>
      </c>
      <c r="N134">
        <f t="shared" si="2"/>
        <v>2140</v>
      </c>
      <c r="P134" s="8" t="s">
        <v>112</v>
      </c>
      <c r="Q134">
        <v>438</v>
      </c>
      <c r="R134">
        <v>153</v>
      </c>
      <c r="S134">
        <v>275</v>
      </c>
      <c r="T134">
        <v>866</v>
      </c>
      <c r="V134" t="s">
        <v>166</v>
      </c>
      <c r="W134">
        <v>2946</v>
      </c>
      <c r="X134">
        <v>498</v>
      </c>
      <c r="Y134">
        <v>367</v>
      </c>
      <c r="Z134">
        <v>3811</v>
      </c>
    </row>
    <row r="135" spans="1:26" ht="15.75" customHeight="1" x14ac:dyDescent="0.3">
      <c r="A135" s="2" t="s">
        <v>253</v>
      </c>
      <c r="B135" s="2" t="s">
        <v>43</v>
      </c>
      <c r="C135" s="2" t="s">
        <v>254</v>
      </c>
      <c r="D135" s="2" t="s">
        <v>52</v>
      </c>
      <c r="E135" s="2" t="s">
        <v>59</v>
      </c>
      <c r="F135" s="2">
        <v>3689</v>
      </c>
      <c r="G135" s="2">
        <v>48</v>
      </c>
      <c r="H135" s="2">
        <v>306</v>
      </c>
      <c r="I135" s="2">
        <v>40579</v>
      </c>
      <c r="J135" s="2">
        <v>39588</v>
      </c>
      <c r="K135" s="2">
        <v>212</v>
      </c>
      <c r="L135" s="2" t="s">
        <v>37</v>
      </c>
      <c r="M135" s="2" t="s">
        <v>25</v>
      </c>
      <c r="N135">
        <f t="shared" si="2"/>
        <v>4043</v>
      </c>
      <c r="P135" s="8" t="s">
        <v>385</v>
      </c>
      <c r="Q135">
        <v>360</v>
      </c>
      <c r="R135">
        <v>590</v>
      </c>
      <c r="S135">
        <v>393</v>
      </c>
      <c r="T135">
        <v>1343</v>
      </c>
      <c r="V135" t="s">
        <v>406</v>
      </c>
      <c r="W135">
        <v>1813</v>
      </c>
      <c r="X135">
        <v>623</v>
      </c>
      <c r="Y135">
        <v>72</v>
      </c>
      <c r="Z135">
        <v>2508</v>
      </c>
    </row>
    <row r="136" spans="1:26" ht="15.75" customHeight="1" x14ac:dyDescent="0.3">
      <c r="A136" s="2" t="s">
        <v>263</v>
      </c>
      <c r="B136" s="2" t="s">
        <v>14</v>
      </c>
      <c r="C136" s="2" t="s">
        <v>264</v>
      </c>
      <c r="D136" s="2" t="s">
        <v>74</v>
      </c>
      <c r="E136" s="2" t="s">
        <v>145</v>
      </c>
      <c r="F136" s="2">
        <v>4050</v>
      </c>
      <c r="G136" s="2">
        <v>871</v>
      </c>
      <c r="H136" s="2">
        <v>347</v>
      </c>
      <c r="I136" s="2">
        <v>52650</v>
      </c>
      <c r="J136" s="2">
        <v>51755</v>
      </c>
      <c r="K136" s="2">
        <v>209</v>
      </c>
      <c r="L136" s="2" t="s">
        <v>30</v>
      </c>
      <c r="M136" s="2" t="s">
        <v>25</v>
      </c>
      <c r="N136">
        <f t="shared" si="2"/>
        <v>5268</v>
      </c>
      <c r="P136" s="8" t="s">
        <v>166</v>
      </c>
      <c r="Q136">
        <v>2946</v>
      </c>
      <c r="R136">
        <v>498</v>
      </c>
      <c r="S136">
        <v>367</v>
      </c>
      <c r="T136">
        <v>3811</v>
      </c>
      <c r="V136" t="s">
        <v>551</v>
      </c>
      <c r="W136">
        <v>2107</v>
      </c>
      <c r="X136">
        <v>550</v>
      </c>
      <c r="Y136">
        <v>349</v>
      </c>
      <c r="Z136">
        <v>3006</v>
      </c>
    </row>
    <row r="137" spans="1:26" ht="15.75" customHeight="1" x14ac:dyDescent="0.3">
      <c r="A137" s="2" t="s">
        <v>267</v>
      </c>
      <c r="B137" s="2" t="s">
        <v>33</v>
      </c>
      <c r="C137" s="2" t="s">
        <v>268</v>
      </c>
      <c r="D137" s="2" t="s">
        <v>16</v>
      </c>
      <c r="E137" s="2" t="s">
        <v>82</v>
      </c>
      <c r="F137" s="2">
        <v>3523</v>
      </c>
      <c r="G137" s="2">
        <v>753</v>
      </c>
      <c r="H137" s="2">
        <v>482</v>
      </c>
      <c r="I137" s="2">
        <v>38753</v>
      </c>
      <c r="J137" s="2">
        <v>38579</v>
      </c>
      <c r="K137" s="2">
        <v>270</v>
      </c>
      <c r="L137" s="2" t="s">
        <v>37</v>
      </c>
      <c r="M137" s="2" t="s">
        <v>25</v>
      </c>
      <c r="N137">
        <f t="shared" si="2"/>
        <v>4758</v>
      </c>
      <c r="P137" s="8" t="s">
        <v>406</v>
      </c>
      <c r="Q137">
        <v>1813</v>
      </c>
      <c r="R137">
        <v>623</v>
      </c>
      <c r="S137">
        <v>72</v>
      </c>
      <c r="T137">
        <v>2508</v>
      </c>
      <c r="V137" t="s">
        <v>339</v>
      </c>
      <c r="W137">
        <v>2283</v>
      </c>
      <c r="X137">
        <v>210</v>
      </c>
      <c r="Y137">
        <v>130</v>
      </c>
      <c r="Z137">
        <v>2623</v>
      </c>
    </row>
    <row r="138" spans="1:26" ht="15.75" customHeight="1" x14ac:dyDescent="0.3">
      <c r="A138" s="2" t="s">
        <v>269</v>
      </c>
      <c r="B138" s="2" t="s">
        <v>27</v>
      </c>
      <c r="C138" s="2" t="s">
        <v>270</v>
      </c>
      <c r="D138" s="2" t="s">
        <v>52</v>
      </c>
      <c r="E138" s="2" t="s">
        <v>53</v>
      </c>
      <c r="F138" s="2">
        <v>2719</v>
      </c>
      <c r="G138" s="2">
        <v>17</v>
      </c>
      <c r="H138" s="2">
        <v>285</v>
      </c>
      <c r="I138" s="2">
        <v>40785</v>
      </c>
      <c r="J138" s="2">
        <v>40281</v>
      </c>
      <c r="K138" s="2">
        <v>40</v>
      </c>
      <c r="L138" s="2" t="s">
        <v>30</v>
      </c>
      <c r="M138" s="2" t="s">
        <v>25</v>
      </c>
      <c r="N138">
        <f t="shared" si="2"/>
        <v>3021</v>
      </c>
      <c r="P138" s="8" t="s">
        <v>551</v>
      </c>
      <c r="Q138">
        <v>2107</v>
      </c>
      <c r="R138">
        <v>550</v>
      </c>
      <c r="S138">
        <v>349</v>
      </c>
      <c r="T138">
        <v>3006</v>
      </c>
      <c r="V138" t="s">
        <v>392</v>
      </c>
      <c r="W138">
        <v>4840</v>
      </c>
      <c r="X138">
        <v>1487</v>
      </c>
      <c r="Y138">
        <v>526</v>
      </c>
      <c r="Z138">
        <v>6853</v>
      </c>
    </row>
    <row r="139" spans="1:26" ht="15.75" customHeight="1" x14ac:dyDescent="0.3">
      <c r="A139" s="2" t="s">
        <v>288</v>
      </c>
      <c r="B139" s="2" t="s">
        <v>33</v>
      </c>
      <c r="C139" s="2" t="s">
        <v>274</v>
      </c>
      <c r="D139" s="2" t="s">
        <v>22</v>
      </c>
      <c r="E139" s="2" t="s">
        <v>113</v>
      </c>
      <c r="F139" s="2">
        <v>3432</v>
      </c>
      <c r="G139" s="2">
        <v>869</v>
      </c>
      <c r="H139" s="2">
        <v>123</v>
      </c>
      <c r="I139" s="2">
        <v>54912</v>
      </c>
      <c r="J139" s="2">
        <v>53916</v>
      </c>
      <c r="K139" s="2">
        <v>264</v>
      </c>
      <c r="L139" s="2" t="s">
        <v>37</v>
      </c>
      <c r="M139" s="2" t="s">
        <v>25</v>
      </c>
      <c r="N139">
        <f t="shared" si="2"/>
        <v>4424</v>
      </c>
      <c r="P139" s="8" t="s">
        <v>339</v>
      </c>
      <c r="Q139">
        <v>2283</v>
      </c>
      <c r="R139">
        <v>210</v>
      </c>
      <c r="S139">
        <v>130</v>
      </c>
      <c r="T139">
        <v>2623</v>
      </c>
      <c r="V139" t="s">
        <v>15</v>
      </c>
      <c r="W139">
        <v>1982</v>
      </c>
      <c r="X139">
        <v>930</v>
      </c>
      <c r="Y139">
        <v>659</v>
      </c>
      <c r="Z139">
        <v>3571</v>
      </c>
    </row>
    <row r="140" spans="1:26" ht="15.75" customHeight="1" x14ac:dyDescent="0.3">
      <c r="A140" s="2" t="s">
        <v>301</v>
      </c>
      <c r="B140" s="2" t="s">
        <v>33</v>
      </c>
      <c r="C140" s="2" t="s">
        <v>106</v>
      </c>
      <c r="D140" s="2" t="s">
        <v>35</v>
      </c>
      <c r="E140" s="2" t="s">
        <v>36</v>
      </c>
      <c r="F140" s="2">
        <v>1947</v>
      </c>
      <c r="G140" s="2">
        <v>842</v>
      </c>
      <c r="H140" s="2">
        <v>101</v>
      </c>
      <c r="I140" s="2">
        <v>21417</v>
      </c>
      <c r="J140" s="2">
        <v>20967</v>
      </c>
      <c r="K140" s="2">
        <v>186</v>
      </c>
      <c r="L140" s="2" t="s">
        <v>62</v>
      </c>
      <c r="M140" s="2" t="s">
        <v>25</v>
      </c>
      <c r="N140">
        <f t="shared" si="2"/>
        <v>2890</v>
      </c>
      <c r="P140" s="8" t="s">
        <v>392</v>
      </c>
      <c r="Q140">
        <v>4840</v>
      </c>
      <c r="R140">
        <v>1487</v>
      </c>
      <c r="S140">
        <v>526</v>
      </c>
      <c r="T140">
        <v>6853</v>
      </c>
      <c r="V140" t="s">
        <v>563</v>
      </c>
      <c r="W140">
        <v>2166</v>
      </c>
      <c r="X140">
        <v>354</v>
      </c>
      <c r="Y140">
        <v>117</v>
      </c>
      <c r="Z140">
        <v>2637</v>
      </c>
    </row>
    <row r="141" spans="1:26" ht="15.75" customHeight="1" x14ac:dyDescent="0.3">
      <c r="A141" s="2" t="s">
        <v>314</v>
      </c>
      <c r="B141" s="2" t="s">
        <v>43</v>
      </c>
      <c r="C141" s="2" t="s">
        <v>315</v>
      </c>
      <c r="D141" s="2" t="s">
        <v>52</v>
      </c>
      <c r="E141" s="2" t="s">
        <v>59</v>
      </c>
      <c r="F141" s="2">
        <v>2291</v>
      </c>
      <c r="G141" s="2">
        <v>78</v>
      </c>
      <c r="H141" s="2">
        <v>485</v>
      </c>
      <c r="I141" s="2">
        <v>18328</v>
      </c>
      <c r="J141" s="2">
        <v>18101</v>
      </c>
      <c r="K141" s="2">
        <v>10</v>
      </c>
      <c r="L141" s="2" t="s">
        <v>316</v>
      </c>
      <c r="M141" s="2" t="s">
        <v>25</v>
      </c>
      <c r="N141">
        <f t="shared" si="2"/>
        <v>2854</v>
      </c>
      <c r="P141" s="8" t="s">
        <v>15</v>
      </c>
      <c r="Q141">
        <v>1982</v>
      </c>
      <c r="R141">
        <v>930</v>
      </c>
      <c r="S141">
        <v>659</v>
      </c>
      <c r="T141">
        <v>3571</v>
      </c>
      <c r="V141" t="s">
        <v>424</v>
      </c>
      <c r="W141">
        <v>4274</v>
      </c>
      <c r="X141">
        <v>340</v>
      </c>
      <c r="Y141">
        <v>281</v>
      </c>
      <c r="Z141">
        <v>4895</v>
      </c>
    </row>
    <row r="142" spans="1:26" ht="15.75" customHeight="1" x14ac:dyDescent="0.3">
      <c r="A142" s="2" t="s">
        <v>326</v>
      </c>
      <c r="B142" s="2" t="s">
        <v>33</v>
      </c>
      <c r="C142" s="2" t="s">
        <v>168</v>
      </c>
      <c r="D142" s="2" t="s">
        <v>16</v>
      </c>
      <c r="E142" s="2" t="s">
        <v>82</v>
      </c>
      <c r="F142" s="2">
        <v>3256</v>
      </c>
      <c r="G142" s="2">
        <v>459</v>
      </c>
      <c r="H142" s="2">
        <v>266</v>
      </c>
      <c r="I142" s="2">
        <v>26048</v>
      </c>
      <c r="J142" s="2">
        <v>25529</v>
      </c>
      <c r="K142" s="2">
        <v>143</v>
      </c>
      <c r="L142" s="2" t="s">
        <v>30</v>
      </c>
      <c r="M142" s="2" t="s">
        <v>25</v>
      </c>
      <c r="N142">
        <f t="shared" si="2"/>
        <v>3981</v>
      </c>
      <c r="P142" s="8" t="s">
        <v>563</v>
      </c>
      <c r="Q142">
        <v>2166</v>
      </c>
      <c r="R142">
        <v>354</v>
      </c>
      <c r="S142">
        <v>117</v>
      </c>
      <c r="T142">
        <v>2637</v>
      </c>
      <c r="V142" t="s">
        <v>366</v>
      </c>
      <c r="W142">
        <v>1018</v>
      </c>
      <c r="X142">
        <v>447</v>
      </c>
      <c r="Y142">
        <v>332</v>
      </c>
      <c r="Z142">
        <v>1797</v>
      </c>
    </row>
    <row r="143" spans="1:26" ht="15.75" customHeight="1" x14ac:dyDescent="0.3">
      <c r="A143" s="2" t="s">
        <v>338</v>
      </c>
      <c r="B143" s="2" t="s">
        <v>27</v>
      </c>
      <c r="C143" s="2" t="s">
        <v>339</v>
      </c>
      <c r="D143" s="2" t="s">
        <v>52</v>
      </c>
      <c r="E143" s="2" t="s">
        <v>53</v>
      </c>
      <c r="F143" s="2">
        <v>2283</v>
      </c>
      <c r="G143" s="2">
        <v>210</v>
      </c>
      <c r="H143" s="2">
        <v>130</v>
      </c>
      <c r="I143" s="2">
        <v>22830</v>
      </c>
      <c r="J143" s="2">
        <v>22617</v>
      </c>
      <c r="K143" s="2">
        <v>143</v>
      </c>
      <c r="L143" s="2" t="s">
        <v>62</v>
      </c>
      <c r="M143" s="2" t="s">
        <v>25</v>
      </c>
      <c r="N143">
        <f t="shared" si="2"/>
        <v>2623</v>
      </c>
      <c r="P143" s="8" t="s">
        <v>424</v>
      </c>
      <c r="Q143">
        <v>4274</v>
      </c>
      <c r="R143">
        <v>340</v>
      </c>
      <c r="S143">
        <v>281</v>
      </c>
      <c r="T143">
        <v>4895</v>
      </c>
      <c r="V143" t="s">
        <v>336</v>
      </c>
      <c r="W143">
        <v>6523</v>
      </c>
      <c r="X143">
        <v>1344</v>
      </c>
      <c r="Y143">
        <v>841</v>
      </c>
      <c r="Z143">
        <v>8708</v>
      </c>
    </row>
    <row r="144" spans="1:26" ht="15.75" customHeight="1" x14ac:dyDescent="0.3">
      <c r="A144" s="2" t="s">
        <v>340</v>
      </c>
      <c r="B144" s="2" t="s">
        <v>43</v>
      </c>
      <c r="C144" s="2" t="s">
        <v>341</v>
      </c>
      <c r="D144" s="2" t="s">
        <v>45</v>
      </c>
      <c r="E144" s="2" t="s">
        <v>46</v>
      </c>
      <c r="F144" s="2">
        <v>3352</v>
      </c>
      <c r="G144" s="2">
        <v>941</v>
      </c>
      <c r="H144" s="2">
        <v>482</v>
      </c>
      <c r="I144" s="2">
        <v>43576</v>
      </c>
      <c r="J144" s="2">
        <v>43338</v>
      </c>
      <c r="K144" s="2">
        <v>240</v>
      </c>
      <c r="L144" s="2" t="s">
        <v>62</v>
      </c>
      <c r="M144" s="2" t="s">
        <v>25</v>
      </c>
      <c r="N144">
        <f t="shared" si="2"/>
        <v>4775</v>
      </c>
      <c r="P144" s="8" t="s">
        <v>366</v>
      </c>
      <c r="Q144">
        <v>1018</v>
      </c>
      <c r="R144">
        <v>447</v>
      </c>
      <c r="S144">
        <v>332</v>
      </c>
      <c r="T144">
        <v>1797</v>
      </c>
      <c r="V144" t="s">
        <v>158</v>
      </c>
      <c r="W144">
        <v>947</v>
      </c>
      <c r="X144">
        <v>338</v>
      </c>
      <c r="Y144">
        <v>350</v>
      </c>
      <c r="Z144">
        <v>1635</v>
      </c>
    </row>
    <row r="145" spans="1:26" ht="15.75" customHeight="1" x14ac:dyDescent="0.3">
      <c r="A145" s="2" t="s">
        <v>342</v>
      </c>
      <c r="B145" s="2" t="s">
        <v>27</v>
      </c>
      <c r="C145" s="2" t="s">
        <v>343</v>
      </c>
      <c r="D145" s="2" t="s">
        <v>35</v>
      </c>
      <c r="E145" s="2" t="s">
        <v>154</v>
      </c>
      <c r="F145" s="2">
        <v>4775</v>
      </c>
      <c r="G145" s="2">
        <v>173</v>
      </c>
      <c r="H145" s="2">
        <v>206</v>
      </c>
      <c r="I145" s="2">
        <v>47750</v>
      </c>
      <c r="J145" s="2">
        <v>47544</v>
      </c>
      <c r="K145" s="2">
        <v>187</v>
      </c>
      <c r="L145" s="2" t="s">
        <v>62</v>
      </c>
      <c r="M145" s="2" t="s">
        <v>25</v>
      </c>
      <c r="N145">
        <f t="shared" si="2"/>
        <v>5154</v>
      </c>
      <c r="P145" s="8" t="s">
        <v>336</v>
      </c>
      <c r="Q145">
        <v>6523</v>
      </c>
      <c r="R145">
        <v>1344</v>
      </c>
      <c r="S145">
        <v>841</v>
      </c>
      <c r="T145">
        <v>8708</v>
      </c>
      <c r="V145" t="s">
        <v>90</v>
      </c>
      <c r="W145">
        <v>4838</v>
      </c>
      <c r="X145">
        <v>640</v>
      </c>
      <c r="Y145">
        <v>128</v>
      </c>
      <c r="Z145">
        <v>5606</v>
      </c>
    </row>
    <row r="146" spans="1:26" ht="15.75" customHeight="1" x14ac:dyDescent="0.3">
      <c r="A146" s="2" t="s">
        <v>346</v>
      </c>
      <c r="B146" s="2" t="s">
        <v>43</v>
      </c>
      <c r="C146" s="2" t="s">
        <v>129</v>
      </c>
      <c r="D146" s="2" t="s">
        <v>35</v>
      </c>
      <c r="E146" s="2" t="s">
        <v>71</v>
      </c>
      <c r="F146" s="2">
        <v>2120</v>
      </c>
      <c r="G146" s="2">
        <v>158</v>
      </c>
      <c r="H146" s="2">
        <v>488</v>
      </c>
      <c r="I146" s="2">
        <v>12720</v>
      </c>
      <c r="J146" s="2">
        <v>12085</v>
      </c>
      <c r="K146" s="2">
        <v>17</v>
      </c>
      <c r="L146" s="2" t="s">
        <v>62</v>
      </c>
      <c r="M146" s="2" t="s">
        <v>25</v>
      </c>
      <c r="N146">
        <f t="shared" si="2"/>
        <v>2766</v>
      </c>
      <c r="P146" s="8" t="s">
        <v>158</v>
      </c>
      <c r="Q146">
        <v>947</v>
      </c>
      <c r="R146">
        <v>338</v>
      </c>
      <c r="S146">
        <v>350</v>
      </c>
      <c r="T146">
        <v>1635</v>
      </c>
      <c r="V146" t="s">
        <v>125</v>
      </c>
      <c r="W146">
        <v>3024</v>
      </c>
      <c r="X146">
        <v>925</v>
      </c>
      <c r="Y146">
        <v>350</v>
      </c>
      <c r="Z146">
        <v>4299</v>
      </c>
    </row>
    <row r="147" spans="1:26" ht="15.75" customHeight="1" x14ac:dyDescent="0.3">
      <c r="A147" s="2" t="s">
        <v>353</v>
      </c>
      <c r="B147" s="2" t="s">
        <v>33</v>
      </c>
      <c r="C147" s="2" t="s">
        <v>354</v>
      </c>
      <c r="D147" s="2" t="s">
        <v>52</v>
      </c>
      <c r="E147" s="2" t="s">
        <v>215</v>
      </c>
      <c r="F147" s="2">
        <v>4501</v>
      </c>
      <c r="G147" s="2">
        <v>375</v>
      </c>
      <c r="H147" s="2">
        <v>323</v>
      </c>
      <c r="I147" s="2">
        <v>22505</v>
      </c>
      <c r="J147" s="2">
        <v>21836</v>
      </c>
      <c r="K147" s="2">
        <v>132</v>
      </c>
      <c r="L147" s="2" t="s">
        <v>30</v>
      </c>
      <c r="M147" s="2" t="s">
        <v>25</v>
      </c>
      <c r="N147">
        <f t="shared" si="2"/>
        <v>5199</v>
      </c>
      <c r="P147" s="8" t="s">
        <v>90</v>
      </c>
      <c r="Q147">
        <v>4838</v>
      </c>
      <c r="R147">
        <v>640</v>
      </c>
      <c r="S147">
        <v>128</v>
      </c>
      <c r="T147">
        <v>5606</v>
      </c>
      <c r="V147" t="s">
        <v>230</v>
      </c>
      <c r="W147">
        <v>5306</v>
      </c>
      <c r="X147">
        <v>355</v>
      </c>
      <c r="Y147">
        <v>443</v>
      </c>
      <c r="Z147">
        <v>6104</v>
      </c>
    </row>
    <row r="148" spans="1:26" ht="15.75" customHeight="1" x14ac:dyDescent="0.3">
      <c r="A148" s="2" t="s">
        <v>356</v>
      </c>
      <c r="B148" s="2" t="s">
        <v>14</v>
      </c>
      <c r="C148" s="2" t="s">
        <v>237</v>
      </c>
      <c r="D148" s="2" t="s">
        <v>22</v>
      </c>
      <c r="E148" s="2" t="s">
        <v>23</v>
      </c>
      <c r="F148" s="2">
        <v>3239</v>
      </c>
      <c r="G148" s="2">
        <v>43</v>
      </c>
      <c r="H148" s="2">
        <v>211</v>
      </c>
      <c r="I148" s="2">
        <v>22673</v>
      </c>
      <c r="J148" s="2">
        <v>22171</v>
      </c>
      <c r="K148" s="2">
        <v>230</v>
      </c>
      <c r="L148" s="2" t="s">
        <v>30</v>
      </c>
      <c r="M148" s="2" t="s">
        <v>25</v>
      </c>
      <c r="N148">
        <f t="shared" si="2"/>
        <v>3493</v>
      </c>
      <c r="P148" s="8" t="s">
        <v>125</v>
      </c>
      <c r="Q148">
        <v>3024</v>
      </c>
      <c r="R148">
        <v>925</v>
      </c>
      <c r="S148">
        <v>350</v>
      </c>
      <c r="T148">
        <v>4299</v>
      </c>
      <c r="V148" t="s">
        <v>389</v>
      </c>
      <c r="W148">
        <v>4523</v>
      </c>
      <c r="X148">
        <v>61</v>
      </c>
      <c r="Y148">
        <v>157</v>
      </c>
      <c r="Z148">
        <v>4741</v>
      </c>
    </row>
    <row r="149" spans="1:26" ht="15.75" customHeight="1" x14ac:dyDescent="0.3">
      <c r="A149" s="2" t="s">
        <v>365</v>
      </c>
      <c r="B149" s="2" t="s">
        <v>27</v>
      </c>
      <c r="C149" s="2" t="s">
        <v>366</v>
      </c>
      <c r="D149" s="2" t="s">
        <v>74</v>
      </c>
      <c r="E149" s="2" t="s">
        <v>219</v>
      </c>
      <c r="F149" s="2">
        <v>1018</v>
      </c>
      <c r="G149" s="2">
        <v>447</v>
      </c>
      <c r="H149" s="2">
        <v>332</v>
      </c>
      <c r="I149" s="2">
        <v>18324</v>
      </c>
      <c r="J149" s="2">
        <v>18164</v>
      </c>
      <c r="K149" s="2">
        <v>38</v>
      </c>
      <c r="L149" s="2" t="s">
        <v>62</v>
      </c>
      <c r="M149" s="2" t="s">
        <v>25</v>
      </c>
      <c r="N149">
        <f t="shared" si="2"/>
        <v>1797</v>
      </c>
      <c r="P149" s="8" t="s">
        <v>230</v>
      </c>
      <c r="Q149">
        <v>5306</v>
      </c>
      <c r="R149">
        <v>355</v>
      </c>
      <c r="S149">
        <v>443</v>
      </c>
      <c r="T149">
        <v>6104</v>
      </c>
      <c r="V149" t="s">
        <v>480</v>
      </c>
      <c r="W149">
        <v>4134</v>
      </c>
      <c r="X149">
        <v>824</v>
      </c>
      <c r="Y149">
        <v>99</v>
      </c>
      <c r="Z149">
        <v>5057</v>
      </c>
    </row>
    <row r="150" spans="1:26" ht="15.75" customHeight="1" x14ac:dyDescent="0.3">
      <c r="A150" s="2" t="s">
        <v>384</v>
      </c>
      <c r="B150" s="2" t="s">
        <v>33</v>
      </c>
      <c r="C150" s="2" t="s">
        <v>385</v>
      </c>
      <c r="D150" s="2" t="s">
        <v>35</v>
      </c>
      <c r="E150" s="2" t="s">
        <v>36</v>
      </c>
      <c r="F150" s="2">
        <v>360</v>
      </c>
      <c r="G150" s="2">
        <v>590</v>
      </c>
      <c r="H150" s="2">
        <v>393</v>
      </c>
      <c r="I150" s="2">
        <v>4680</v>
      </c>
      <c r="J150" s="2">
        <v>4322</v>
      </c>
      <c r="K150" s="2">
        <v>208</v>
      </c>
      <c r="L150" s="2" t="s">
        <v>62</v>
      </c>
      <c r="M150" s="2" t="s">
        <v>25</v>
      </c>
      <c r="N150">
        <f t="shared" si="2"/>
        <v>1343</v>
      </c>
      <c r="P150" s="8" t="s">
        <v>389</v>
      </c>
      <c r="Q150">
        <v>4523</v>
      </c>
      <c r="R150">
        <v>61</v>
      </c>
      <c r="S150">
        <v>157</v>
      </c>
      <c r="T150">
        <v>4741</v>
      </c>
      <c r="V150" t="s">
        <v>495</v>
      </c>
      <c r="W150">
        <v>2692</v>
      </c>
      <c r="X150">
        <v>115</v>
      </c>
      <c r="Y150">
        <v>64</v>
      </c>
      <c r="Z150">
        <v>2871</v>
      </c>
    </row>
    <row r="151" spans="1:26" ht="15.75" customHeight="1" x14ac:dyDescent="0.3">
      <c r="A151" s="2" t="s">
        <v>393</v>
      </c>
      <c r="B151" s="2" t="s">
        <v>27</v>
      </c>
      <c r="C151" s="2" t="s">
        <v>226</v>
      </c>
      <c r="D151" s="2" t="s">
        <v>16</v>
      </c>
      <c r="E151" s="2" t="s">
        <v>29</v>
      </c>
      <c r="F151" s="2">
        <v>2728</v>
      </c>
      <c r="G151" s="2">
        <v>533</v>
      </c>
      <c r="H151" s="2">
        <v>215</v>
      </c>
      <c r="I151" s="2">
        <v>40920</v>
      </c>
      <c r="J151" s="2">
        <v>40816</v>
      </c>
      <c r="K151" s="2">
        <v>137</v>
      </c>
      <c r="L151" s="2" t="s">
        <v>62</v>
      </c>
      <c r="M151" s="2" t="s">
        <v>25</v>
      </c>
      <c r="N151">
        <f t="shared" si="2"/>
        <v>3476</v>
      </c>
      <c r="P151" s="8" t="s">
        <v>480</v>
      </c>
      <c r="Q151">
        <v>4134</v>
      </c>
      <c r="R151">
        <v>824</v>
      </c>
      <c r="S151">
        <v>99</v>
      </c>
      <c r="T151">
        <v>5057</v>
      </c>
      <c r="V151" t="s">
        <v>414</v>
      </c>
      <c r="W151">
        <v>4576</v>
      </c>
      <c r="X151">
        <v>501</v>
      </c>
      <c r="Y151">
        <v>283</v>
      </c>
      <c r="Z151">
        <v>5360</v>
      </c>
    </row>
    <row r="152" spans="1:26" ht="15.75" customHeight="1" x14ac:dyDescent="0.3">
      <c r="A152" s="2" t="s">
        <v>410</v>
      </c>
      <c r="B152" s="2" t="s">
        <v>27</v>
      </c>
      <c r="C152" s="2" t="s">
        <v>121</v>
      </c>
      <c r="D152" s="2" t="s">
        <v>45</v>
      </c>
      <c r="E152" s="2" t="s">
        <v>68</v>
      </c>
      <c r="F152" s="2">
        <v>2509</v>
      </c>
      <c r="G152" s="2">
        <v>324</v>
      </c>
      <c r="H152" s="2">
        <v>171</v>
      </c>
      <c r="I152" s="2">
        <v>35126</v>
      </c>
      <c r="J152" s="2">
        <v>34685</v>
      </c>
      <c r="K152" s="2">
        <v>277</v>
      </c>
      <c r="L152" s="2" t="s">
        <v>30</v>
      </c>
      <c r="M152" s="2" t="s">
        <v>25</v>
      </c>
      <c r="N152">
        <f t="shared" si="2"/>
        <v>3004</v>
      </c>
      <c r="P152" s="8" t="s">
        <v>495</v>
      </c>
      <c r="Q152">
        <v>2692</v>
      </c>
      <c r="R152">
        <v>115</v>
      </c>
      <c r="S152">
        <v>64</v>
      </c>
      <c r="T152">
        <v>2871</v>
      </c>
      <c r="V152" t="s">
        <v>373</v>
      </c>
      <c r="W152">
        <v>142</v>
      </c>
      <c r="X152">
        <v>784</v>
      </c>
      <c r="Y152">
        <v>183</v>
      </c>
      <c r="Z152">
        <v>1109</v>
      </c>
    </row>
    <row r="153" spans="1:26" ht="15.75" customHeight="1" x14ac:dyDescent="0.3">
      <c r="A153" s="2" t="s">
        <v>411</v>
      </c>
      <c r="B153" s="2" t="s">
        <v>43</v>
      </c>
      <c r="C153" s="2" t="s">
        <v>412</v>
      </c>
      <c r="D153" s="2" t="s">
        <v>16</v>
      </c>
      <c r="E153" s="2" t="s">
        <v>65</v>
      </c>
      <c r="F153" s="2">
        <v>3718</v>
      </c>
      <c r="G153" s="2">
        <v>385</v>
      </c>
      <c r="H153" s="2">
        <v>310</v>
      </c>
      <c r="I153" s="2">
        <v>70642</v>
      </c>
      <c r="J153" s="2">
        <v>69749</v>
      </c>
      <c r="K153" s="2">
        <v>233</v>
      </c>
      <c r="L153" s="2" t="s">
        <v>30</v>
      </c>
      <c r="M153" s="2" t="s">
        <v>25</v>
      </c>
      <c r="N153">
        <f t="shared" si="2"/>
        <v>4413</v>
      </c>
      <c r="P153" s="8" t="s">
        <v>414</v>
      </c>
      <c r="Q153">
        <v>4576</v>
      </c>
      <c r="R153">
        <v>501</v>
      </c>
      <c r="S153">
        <v>283</v>
      </c>
      <c r="T153">
        <v>5360</v>
      </c>
      <c r="V153" t="s">
        <v>473</v>
      </c>
      <c r="W153">
        <v>5527</v>
      </c>
      <c r="X153">
        <v>1112</v>
      </c>
      <c r="Y153">
        <v>208</v>
      </c>
      <c r="Z153">
        <v>6847</v>
      </c>
    </row>
    <row r="154" spans="1:26" ht="15.75" customHeight="1" x14ac:dyDescent="0.3">
      <c r="A154" s="2" t="s">
        <v>425</v>
      </c>
      <c r="B154" s="2" t="s">
        <v>27</v>
      </c>
      <c r="C154" s="2" t="s">
        <v>48</v>
      </c>
      <c r="D154" s="2" t="s">
        <v>74</v>
      </c>
      <c r="E154" s="2" t="s">
        <v>219</v>
      </c>
      <c r="F154" s="2">
        <v>2949</v>
      </c>
      <c r="G154" s="2">
        <v>476</v>
      </c>
      <c r="H154" s="2">
        <v>403</v>
      </c>
      <c r="I154" s="2">
        <v>44235</v>
      </c>
      <c r="J154" s="2">
        <v>43705</v>
      </c>
      <c r="K154" s="2">
        <v>135</v>
      </c>
      <c r="L154" s="2" t="s">
        <v>30</v>
      </c>
      <c r="M154" s="2" t="s">
        <v>25</v>
      </c>
      <c r="N154">
        <f t="shared" si="2"/>
        <v>3828</v>
      </c>
      <c r="P154" s="8" t="s">
        <v>373</v>
      </c>
      <c r="Q154">
        <v>142</v>
      </c>
      <c r="R154">
        <v>784</v>
      </c>
      <c r="S154">
        <v>183</v>
      </c>
      <c r="T154">
        <v>1109</v>
      </c>
      <c r="V154" t="s">
        <v>97</v>
      </c>
      <c r="W154">
        <v>3961</v>
      </c>
      <c r="X154">
        <v>761</v>
      </c>
      <c r="Y154">
        <v>131</v>
      </c>
      <c r="Z154">
        <v>4853</v>
      </c>
    </row>
    <row r="155" spans="1:26" ht="15.75" customHeight="1" x14ac:dyDescent="0.3">
      <c r="A155" s="2" t="s">
        <v>431</v>
      </c>
      <c r="B155" s="2" t="s">
        <v>27</v>
      </c>
      <c r="C155" s="2" t="s">
        <v>197</v>
      </c>
      <c r="D155" s="2" t="s">
        <v>74</v>
      </c>
      <c r="E155" s="2" t="s">
        <v>219</v>
      </c>
      <c r="F155" s="2">
        <v>3874</v>
      </c>
      <c r="G155" s="2">
        <v>884</v>
      </c>
      <c r="H155" s="2">
        <v>19</v>
      </c>
      <c r="I155" s="2">
        <v>38740</v>
      </c>
      <c r="J155" s="2">
        <v>38552</v>
      </c>
      <c r="K155" s="2">
        <v>219</v>
      </c>
      <c r="L155" s="2" t="s">
        <v>30</v>
      </c>
      <c r="M155" s="2" t="s">
        <v>25</v>
      </c>
      <c r="N155">
        <f t="shared" si="2"/>
        <v>4777</v>
      </c>
      <c r="P155" s="8" t="s">
        <v>473</v>
      </c>
      <c r="Q155">
        <v>5527</v>
      </c>
      <c r="R155">
        <v>1112</v>
      </c>
      <c r="S155">
        <v>208</v>
      </c>
      <c r="T155">
        <v>6847</v>
      </c>
      <c r="V155" t="s">
        <v>224</v>
      </c>
      <c r="W155">
        <v>6880</v>
      </c>
      <c r="X155">
        <v>957</v>
      </c>
      <c r="Y155">
        <v>527</v>
      </c>
      <c r="Z155">
        <v>8364</v>
      </c>
    </row>
    <row r="156" spans="1:26" ht="15.75" customHeight="1" x14ac:dyDescent="0.3">
      <c r="A156" s="2" t="s">
        <v>434</v>
      </c>
      <c r="B156" s="2" t="s">
        <v>33</v>
      </c>
      <c r="C156" s="2" t="s">
        <v>15</v>
      </c>
      <c r="D156" s="2" t="s">
        <v>52</v>
      </c>
      <c r="E156" s="2" t="s">
        <v>215</v>
      </c>
      <c r="F156" s="2">
        <v>521</v>
      </c>
      <c r="G156" s="2">
        <v>746</v>
      </c>
      <c r="H156" s="2">
        <v>315</v>
      </c>
      <c r="I156" s="2">
        <v>4168</v>
      </c>
      <c r="J156" s="2">
        <v>3399</v>
      </c>
      <c r="K156" s="2">
        <v>282</v>
      </c>
      <c r="L156" s="2" t="s">
        <v>62</v>
      </c>
      <c r="M156" s="2" t="s">
        <v>25</v>
      </c>
      <c r="N156">
        <f t="shared" si="2"/>
        <v>1582</v>
      </c>
      <c r="P156" s="8" t="s">
        <v>97</v>
      </c>
      <c r="Q156">
        <v>3961</v>
      </c>
      <c r="R156">
        <v>761</v>
      </c>
      <c r="S156">
        <v>131</v>
      </c>
      <c r="T156">
        <v>4853</v>
      </c>
      <c r="V156" t="s">
        <v>174</v>
      </c>
      <c r="W156">
        <v>2092</v>
      </c>
      <c r="X156">
        <v>1443</v>
      </c>
      <c r="Y156">
        <v>237</v>
      </c>
      <c r="Z156">
        <v>3772</v>
      </c>
    </row>
    <row r="157" spans="1:26" ht="15.75" customHeight="1" x14ac:dyDescent="0.3">
      <c r="A157" s="2" t="s">
        <v>435</v>
      </c>
      <c r="B157" s="2" t="s">
        <v>43</v>
      </c>
      <c r="C157" s="2" t="s">
        <v>436</v>
      </c>
      <c r="D157" s="2" t="s">
        <v>52</v>
      </c>
      <c r="E157" s="2" t="s">
        <v>59</v>
      </c>
      <c r="F157" s="2">
        <v>4872</v>
      </c>
      <c r="G157" s="2">
        <v>925</v>
      </c>
      <c r="H157" s="2">
        <v>176</v>
      </c>
      <c r="I157" s="2">
        <v>82824</v>
      </c>
      <c r="J157" s="2">
        <v>82543</v>
      </c>
      <c r="K157" s="2">
        <v>89</v>
      </c>
      <c r="L157" s="2" t="s">
        <v>37</v>
      </c>
      <c r="M157" s="2" t="s">
        <v>25</v>
      </c>
      <c r="N157">
        <f t="shared" si="2"/>
        <v>5973</v>
      </c>
      <c r="P157" s="8" t="s">
        <v>224</v>
      </c>
      <c r="Q157">
        <v>6880</v>
      </c>
      <c r="R157">
        <v>957</v>
      </c>
      <c r="S157">
        <v>527</v>
      </c>
      <c r="T157">
        <v>8364</v>
      </c>
      <c r="V157" t="s">
        <v>512</v>
      </c>
      <c r="W157">
        <v>59</v>
      </c>
      <c r="X157">
        <v>163</v>
      </c>
      <c r="Y157">
        <v>93</v>
      </c>
      <c r="Z157">
        <v>315</v>
      </c>
    </row>
    <row r="158" spans="1:26" ht="15.75" customHeight="1" x14ac:dyDescent="0.3">
      <c r="A158" s="2" t="s">
        <v>437</v>
      </c>
      <c r="B158" s="2" t="s">
        <v>27</v>
      </c>
      <c r="C158" s="2" t="s">
        <v>268</v>
      </c>
      <c r="D158" s="2" t="s">
        <v>35</v>
      </c>
      <c r="E158" s="2" t="s">
        <v>154</v>
      </c>
      <c r="F158" s="2">
        <v>1509</v>
      </c>
      <c r="G158" s="2">
        <v>88</v>
      </c>
      <c r="H158" s="2">
        <v>163</v>
      </c>
      <c r="I158" s="2">
        <v>30180</v>
      </c>
      <c r="J158" s="2">
        <v>29689</v>
      </c>
      <c r="K158" s="2">
        <v>119</v>
      </c>
      <c r="L158" s="2" t="s">
        <v>37</v>
      </c>
      <c r="M158" s="2" t="s">
        <v>25</v>
      </c>
      <c r="N158">
        <f t="shared" si="2"/>
        <v>1760</v>
      </c>
      <c r="P158" s="8" t="s">
        <v>174</v>
      </c>
      <c r="Q158">
        <v>2092</v>
      </c>
      <c r="R158">
        <v>1443</v>
      </c>
      <c r="S158">
        <v>237</v>
      </c>
      <c r="T158">
        <v>3772</v>
      </c>
      <c r="V158" t="s">
        <v>108</v>
      </c>
      <c r="W158">
        <v>2566</v>
      </c>
      <c r="X158">
        <v>118</v>
      </c>
      <c r="Y158">
        <v>37</v>
      </c>
      <c r="Z158">
        <v>2721</v>
      </c>
    </row>
    <row r="159" spans="1:26" ht="15.75" customHeight="1" x14ac:dyDescent="0.3">
      <c r="A159" s="2" t="s">
        <v>465</v>
      </c>
      <c r="B159" s="2" t="s">
        <v>43</v>
      </c>
      <c r="C159" s="2" t="s">
        <v>81</v>
      </c>
      <c r="D159" s="2" t="s">
        <v>22</v>
      </c>
      <c r="E159" s="2" t="s">
        <v>56</v>
      </c>
      <c r="F159" s="2">
        <v>1257</v>
      </c>
      <c r="G159" s="2">
        <v>19</v>
      </c>
      <c r="H159" s="2">
        <v>351</v>
      </c>
      <c r="I159" s="2">
        <v>12570</v>
      </c>
      <c r="J159" s="2">
        <v>11660</v>
      </c>
      <c r="K159" s="2">
        <v>194</v>
      </c>
      <c r="L159" s="2" t="s">
        <v>466</v>
      </c>
      <c r="M159" s="2" t="s">
        <v>25</v>
      </c>
      <c r="N159">
        <f t="shared" si="2"/>
        <v>1627</v>
      </c>
      <c r="P159" s="8" t="s">
        <v>512</v>
      </c>
      <c r="Q159">
        <v>59</v>
      </c>
      <c r="R159">
        <v>163</v>
      </c>
      <c r="S159">
        <v>93</v>
      </c>
      <c r="T159">
        <v>315</v>
      </c>
      <c r="V159" t="s">
        <v>61</v>
      </c>
      <c r="W159">
        <v>2678</v>
      </c>
      <c r="X159">
        <v>740</v>
      </c>
      <c r="Y159">
        <v>650</v>
      </c>
      <c r="Z159">
        <v>4068</v>
      </c>
    </row>
    <row r="160" spans="1:26" ht="15.75" customHeight="1" x14ac:dyDescent="0.3">
      <c r="A160" s="2" t="s">
        <v>481</v>
      </c>
      <c r="B160" s="2" t="s">
        <v>43</v>
      </c>
      <c r="C160" s="2" t="s">
        <v>482</v>
      </c>
      <c r="D160" s="2" t="s">
        <v>52</v>
      </c>
      <c r="E160" s="2" t="s">
        <v>59</v>
      </c>
      <c r="F160" s="2">
        <v>400</v>
      </c>
      <c r="G160" s="2">
        <v>680</v>
      </c>
      <c r="H160" s="2">
        <v>434</v>
      </c>
      <c r="I160" s="2">
        <v>6400</v>
      </c>
      <c r="J160" s="2">
        <v>5472</v>
      </c>
      <c r="K160" s="2">
        <v>160</v>
      </c>
      <c r="L160" s="2" t="s">
        <v>62</v>
      </c>
      <c r="M160" s="2" t="s">
        <v>25</v>
      </c>
      <c r="N160">
        <f t="shared" si="2"/>
        <v>1514</v>
      </c>
      <c r="P160" s="8" t="s">
        <v>108</v>
      </c>
      <c r="Q160">
        <v>2566</v>
      </c>
      <c r="R160">
        <v>118</v>
      </c>
      <c r="S160">
        <v>37</v>
      </c>
      <c r="T160">
        <v>2721</v>
      </c>
      <c r="V160" t="s">
        <v>260</v>
      </c>
      <c r="W160">
        <v>4619</v>
      </c>
      <c r="X160">
        <v>821</v>
      </c>
      <c r="Y160">
        <v>499</v>
      </c>
      <c r="Z160">
        <v>5939</v>
      </c>
    </row>
    <row r="161" spans="1:26" ht="15.75" customHeight="1" x14ac:dyDescent="0.3">
      <c r="A161" s="2" t="s">
        <v>487</v>
      </c>
      <c r="B161" s="2" t="s">
        <v>14</v>
      </c>
      <c r="C161" s="2" t="s">
        <v>430</v>
      </c>
      <c r="D161" s="2" t="s">
        <v>52</v>
      </c>
      <c r="E161" s="2" t="s">
        <v>132</v>
      </c>
      <c r="F161" s="2">
        <v>827</v>
      </c>
      <c r="G161" s="2">
        <v>77</v>
      </c>
      <c r="H161" s="2">
        <v>402</v>
      </c>
      <c r="I161" s="2">
        <v>14886</v>
      </c>
      <c r="J161" s="2">
        <v>14129</v>
      </c>
      <c r="K161" s="2">
        <v>254</v>
      </c>
      <c r="L161" s="2" t="s">
        <v>37</v>
      </c>
      <c r="M161" s="2" t="s">
        <v>25</v>
      </c>
      <c r="N161">
        <f t="shared" si="2"/>
        <v>1306</v>
      </c>
      <c r="P161" s="8" t="s">
        <v>61</v>
      </c>
      <c r="Q161">
        <v>2678</v>
      </c>
      <c r="R161">
        <v>740</v>
      </c>
      <c r="S161">
        <v>650</v>
      </c>
      <c r="T161">
        <v>4068</v>
      </c>
      <c r="V161" t="s">
        <v>303</v>
      </c>
      <c r="W161">
        <v>2072</v>
      </c>
      <c r="X161">
        <v>532</v>
      </c>
      <c r="Y161">
        <v>71</v>
      </c>
      <c r="Z161">
        <v>2675</v>
      </c>
    </row>
    <row r="162" spans="1:26" ht="15.75" customHeight="1" x14ac:dyDescent="0.3">
      <c r="A162" s="2" t="s">
        <v>494</v>
      </c>
      <c r="B162" s="2" t="s">
        <v>14</v>
      </c>
      <c r="C162" s="2" t="s">
        <v>495</v>
      </c>
      <c r="D162" s="2" t="s">
        <v>52</v>
      </c>
      <c r="E162" s="2" t="s">
        <v>132</v>
      </c>
      <c r="F162" s="2">
        <v>2692</v>
      </c>
      <c r="G162" s="2">
        <v>115</v>
      </c>
      <c r="H162" s="2">
        <v>64</v>
      </c>
      <c r="I162" s="2">
        <v>21536</v>
      </c>
      <c r="J162" s="2">
        <v>21120</v>
      </c>
      <c r="K162" s="2">
        <v>224</v>
      </c>
      <c r="L162" s="2" t="s">
        <v>62</v>
      </c>
      <c r="M162" s="2" t="s">
        <v>25</v>
      </c>
      <c r="N162">
        <f t="shared" si="2"/>
        <v>2871</v>
      </c>
      <c r="P162" s="8" t="s">
        <v>260</v>
      </c>
      <c r="Q162">
        <v>4619</v>
      </c>
      <c r="R162">
        <v>821</v>
      </c>
      <c r="S162">
        <v>499</v>
      </c>
      <c r="T162">
        <v>5939</v>
      </c>
      <c r="V162" t="s">
        <v>285</v>
      </c>
      <c r="W162">
        <v>1970</v>
      </c>
      <c r="X162">
        <v>675</v>
      </c>
      <c r="Y162">
        <v>478</v>
      </c>
      <c r="Z162">
        <v>3123</v>
      </c>
    </row>
    <row r="163" spans="1:26" ht="15.75" customHeight="1" x14ac:dyDescent="0.3">
      <c r="A163" s="2" t="s">
        <v>497</v>
      </c>
      <c r="B163" s="2" t="s">
        <v>27</v>
      </c>
      <c r="C163" s="2" t="s">
        <v>252</v>
      </c>
      <c r="D163" s="2" t="s">
        <v>45</v>
      </c>
      <c r="E163" s="2" t="s">
        <v>68</v>
      </c>
      <c r="F163" s="2">
        <v>2143</v>
      </c>
      <c r="G163" s="2">
        <v>12</v>
      </c>
      <c r="H163" s="2">
        <v>204</v>
      </c>
      <c r="I163" s="2">
        <v>40717</v>
      </c>
      <c r="J163" s="2">
        <v>40125</v>
      </c>
      <c r="K163" s="2">
        <v>248</v>
      </c>
      <c r="L163" s="2" t="s">
        <v>37</v>
      </c>
      <c r="M163" s="2" t="s">
        <v>25</v>
      </c>
      <c r="N163">
        <f t="shared" si="2"/>
        <v>2359</v>
      </c>
      <c r="P163" s="8" t="s">
        <v>303</v>
      </c>
      <c r="Q163">
        <v>2072</v>
      </c>
      <c r="R163">
        <v>532</v>
      </c>
      <c r="S163">
        <v>71</v>
      </c>
      <c r="T163">
        <v>2675</v>
      </c>
      <c r="V163" t="s">
        <v>249</v>
      </c>
      <c r="W163">
        <v>2328</v>
      </c>
      <c r="X163">
        <v>250</v>
      </c>
      <c r="Y163">
        <v>573</v>
      </c>
      <c r="Z163">
        <v>3151</v>
      </c>
    </row>
    <row r="164" spans="1:26" ht="15.75" customHeight="1" x14ac:dyDescent="0.3">
      <c r="A164" s="2" t="s">
        <v>498</v>
      </c>
      <c r="B164" s="2" t="s">
        <v>43</v>
      </c>
      <c r="C164" s="2" t="s">
        <v>291</v>
      </c>
      <c r="D164" s="2" t="s">
        <v>52</v>
      </c>
      <c r="E164" s="2" t="s">
        <v>59</v>
      </c>
      <c r="F164" s="2">
        <v>3090</v>
      </c>
      <c r="G164" s="2">
        <v>697</v>
      </c>
      <c r="H164" s="2">
        <v>164</v>
      </c>
      <c r="I164" s="2">
        <v>49440</v>
      </c>
      <c r="J164" s="2">
        <v>48524</v>
      </c>
      <c r="K164" s="2">
        <v>25</v>
      </c>
      <c r="L164" s="2" t="s">
        <v>499</v>
      </c>
      <c r="M164" s="2" t="s">
        <v>25</v>
      </c>
      <c r="N164">
        <f t="shared" si="2"/>
        <v>3951</v>
      </c>
      <c r="P164" s="8" t="s">
        <v>285</v>
      </c>
      <c r="Q164">
        <v>1970</v>
      </c>
      <c r="R164">
        <v>675</v>
      </c>
      <c r="S164">
        <v>478</v>
      </c>
      <c r="T164">
        <v>3123</v>
      </c>
      <c r="V164" t="s">
        <v>561</v>
      </c>
      <c r="W164">
        <v>3440</v>
      </c>
      <c r="X164">
        <v>13</v>
      </c>
      <c r="Y164">
        <v>20</v>
      </c>
      <c r="Z164">
        <v>3473</v>
      </c>
    </row>
    <row r="165" spans="1:26" ht="15.75" customHeight="1" x14ac:dyDescent="0.3">
      <c r="A165" s="2" t="s">
        <v>500</v>
      </c>
      <c r="B165" s="2" t="s">
        <v>33</v>
      </c>
      <c r="C165" s="2" t="s">
        <v>501</v>
      </c>
      <c r="D165" s="2" t="s">
        <v>35</v>
      </c>
      <c r="E165" s="2" t="s">
        <v>36</v>
      </c>
      <c r="F165" s="2">
        <v>3601</v>
      </c>
      <c r="G165" s="2">
        <v>695</v>
      </c>
      <c r="H165" s="2">
        <v>75</v>
      </c>
      <c r="I165" s="2">
        <v>21606</v>
      </c>
      <c r="J165" s="2">
        <v>21454</v>
      </c>
      <c r="K165" s="2">
        <v>172</v>
      </c>
      <c r="L165" s="2" t="s">
        <v>37</v>
      </c>
      <c r="M165" s="2" t="s">
        <v>25</v>
      </c>
      <c r="N165">
        <f t="shared" si="2"/>
        <v>4371</v>
      </c>
      <c r="P165" s="8" t="s">
        <v>249</v>
      </c>
      <c r="Q165">
        <v>2328</v>
      </c>
      <c r="R165">
        <v>250</v>
      </c>
      <c r="S165">
        <v>573</v>
      </c>
      <c r="T165">
        <v>3151</v>
      </c>
      <c r="V165" t="s">
        <v>504</v>
      </c>
      <c r="W165">
        <v>4332</v>
      </c>
      <c r="X165">
        <v>771</v>
      </c>
      <c r="Y165">
        <v>219</v>
      </c>
      <c r="Z165">
        <v>5322</v>
      </c>
    </row>
    <row r="166" spans="1:26" ht="15.75" customHeight="1" x14ac:dyDescent="0.3">
      <c r="A166" s="2" t="s">
        <v>509</v>
      </c>
      <c r="B166" s="2" t="s">
        <v>33</v>
      </c>
      <c r="C166" s="2" t="s">
        <v>510</v>
      </c>
      <c r="D166" s="2" t="s">
        <v>16</v>
      </c>
      <c r="E166" s="2" t="s">
        <v>82</v>
      </c>
      <c r="F166" s="2">
        <v>2603</v>
      </c>
      <c r="G166" s="2">
        <v>690</v>
      </c>
      <c r="H166" s="2">
        <v>205</v>
      </c>
      <c r="I166" s="2">
        <v>13015</v>
      </c>
      <c r="J166" s="2">
        <v>12130</v>
      </c>
      <c r="K166" s="2">
        <v>20</v>
      </c>
      <c r="L166" s="2" t="s">
        <v>62</v>
      </c>
      <c r="M166" s="2" t="s">
        <v>25</v>
      </c>
      <c r="N166">
        <f t="shared" si="2"/>
        <v>3498</v>
      </c>
      <c r="P166" s="8" t="s">
        <v>561</v>
      </c>
      <c r="Q166">
        <v>3440</v>
      </c>
      <c r="R166">
        <v>13</v>
      </c>
      <c r="S166">
        <v>20</v>
      </c>
      <c r="T166">
        <v>3473</v>
      </c>
      <c r="V166" t="s">
        <v>70</v>
      </c>
      <c r="W166">
        <v>5318</v>
      </c>
      <c r="X166">
        <v>868</v>
      </c>
      <c r="Y166">
        <v>437</v>
      </c>
      <c r="Z166">
        <v>6623</v>
      </c>
    </row>
    <row r="167" spans="1:26" ht="15.75" customHeight="1" x14ac:dyDescent="0.3">
      <c r="A167" s="2" t="s">
        <v>511</v>
      </c>
      <c r="B167" s="2" t="s">
        <v>14</v>
      </c>
      <c r="C167" s="2" t="s">
        <v>512</v>
      </c>
      <c r="D167" s="2" t="s">
        <v>52</v>
      </c>
      <c r="E167" s="2" t="s">
        <v>132</v>
      </c>
      <c r="F167" s="2">
        <v>59</v>
      </c>
      <c r="G167" s="2">
        <v>163</v>
      </c>
      <c r="H167" s="2">
        <v>93</v>
      </c>
      <c r="I167" s="2">
        <v>590</v>
      </c>
      <c r="J167" s="2">
        <v>475</v>
      </c>
      <c r="K167" s="2">
        <v>293</v>
      </c>
      <c r="L167" s="2" t="s">
        <v>30</v>
      </c>
      <c r="M167" s="2" t="s">
        <v>25</v>
      </c>
      <c r="N167">
        <f t="shared" si="2"/>
        <v>315</v>
      </c>
      <c r="P167" s="8" t="s">
        <v>504</v>
      </c>
      <c r="Q167">
        <v>4332</v>
      </c>
      <c r="R167">
        <v>771</v>
      </c>
      <c r="S167">
        <v>219</v>
      </c>
      <c r="T167">
        <v>5322</v>
      </c>
      <c r="V167" t="s">
        <v>127</v>
      </c>
      <c r="W167">
        <v>3138</v>
      </c>
      <c r="X167">
        <v>123</v>
      </c>
      <c r="Y167">
        <v>291</v>
      </c>
      <c r="Z167">
        <v>3552</v>
      </c>
    </row>
    <row r="168" spans="1:26" ht="15.75" customHeight="1" x14ac:dyDescent="0.3">
      <c r="A168" s="2" t="s">
        <v>519</v>
      </c>
      <c r="B168" s="2" t="s">
        <v>33</v>
      </c>
      <c r="C168" s="2" t="s">
        <v>520</v>
      </c>
      <c r="D168" s="2" t="s">
        <v>74</v>
      </c>
      <c r="E168" s="2" t="s">
        <v>85</v>
      </c>
      <c r="F168" s="2">
        <v>4561</v>
      </c>
      <c r="G168" s="2">
        <v>51</v>
      </c>
      <c r="H168" s="2">
        <v>441</v>
      </c>
      <c r="I168" s="2">
        <v>22805</v>
      </c>
      <c r="J168" s="2">
        <v>21890</v>
      </c>
      <c r="K168" s="2">
        <v>45</v>
      </c>
      <c r="L168" s="2" t="s">
        <v>30</v>
      </c>
      <c r="M168" s="2" t="s">
        <v>25</v>
      </c>
      <c r="N168">
        <f t="shared" si="2"/>
        <v>5053</v>
      </c>
      <c r="P168" s="8" t="s">
        <v>70</v>
      </c>
      <c r="Q168">
        <v>5318</v>
      </c>
      <c r="R168">
        <v>868</v>
      </c>
      <c r="S168">
        <v>437</v>
      </c>
      <c r="T168">
        <v>6623</v>
      </c>
      <c r="V168" t="s">
        <v>350</v>
      </c>
      <c r="W168">
        <v>4928</v>
      </c>
      <c r="X168">
        <v>1842</v>
      </c>
      <c r="Y168">
        <v>764</v>
      </c>
      <c r="Z168">
        <v>7534</v>
      </c>
    </row>
    <row r="169" spans="1:26" ht="15.75" customHeight="1" x14ac:dyDescent="0.3">
      <c r="A169" s="2" t="s">
        <v>522</v>
      </c>
      <c r="B169" s="2" t="s">
        <v>33</v>
      </c>
      <c r="C169" s="2" t="s">
        <v>523</v>
      </c>
      <c r="D169" s="2" t="s">
        <v>74</v>
      </c>
      <c r="E169" s="2" t="s">
        <v>85</v>
      </c>
      <c r="F169" s="2">
        <v>3575</v>
      </c>
      <c r="G169" s="2">
        <v>749</v>
      </c>
      <c r="H169" s="2">
        <v>111</v>
      </c>
      <c r="I169" s="2">
        <v>21450</v>
      </c>
      <c r="J169" s="2">
        <v>20785</v>
      </c>
      <c r="K169" s="2">
        <v>195</v>
      </c>
      <c r="L169" s="2" t="s">
        <v>37</v>
      </c>
      <c r="M169" s="2" t="s">
        <v>25</v>
      </c>
      <c r="N169">
        <f t="shared" si="2"/>
        <v>4435</v>
      </c>
      <c r="P169" s="8" t="s">
        <v>127</v>
      </c>
      <c r="Q169">
        <v>3138</v>
      </c>
      <c r="R169">
        <v>123</v>
      </c>
      <c r="S169">
        <v>291</v>
      </c>
      <c r="T169">
        <v>3552</v>
      </c>
      <c r="V169" t="s">
        <v>514</v>
      </c>
      <c r="W169">
        <v>1877</v>
      </c>
      <c r="X169">
        <v>745</v>
      </c>
      <c r="Y169">
        <v>225</v>
      </c>
      <c r="Z169">
        <v>2847</v>
      </c>
    </row>
    <row r="170" spans="1:26" ht="15.75" customHeight="1" x14ac:dyDescent="0.3">
      <c r="A170" s="2" t="s">
        <v>529</v>
      </c>
      <c r="B170" s="2" t="s">
        <v>14</v>
      </c>
      <c r="C170" s="2" t="s">
        <v>530</v>
      </c>
      <c r="D170" s="2" t="s">
        <v>45</v>
      </c>
      <c r="E170" s="2" t="s">
        <v>49</v>
      </c>
      <c r="F170" s="2">
        <v>1556</v>
      </c>
      <c r="G170" s="2">
        <v>195</v>
      </c>
      <c r="H170" s="2">
        <v>131</v>
      </c>
      <c r="I170" s="2">
        <v>9336</v>
      </c>
      <c r="J170" s="2">
        <v>8875</v>
      </c>
      <c r="K170" s="2">
        <v>137</v>
      </c>
      <c r="L170" s="2" t="s">
        <v>30</v>
      </c>
      <c r="M170" s="2" t="s">
        <v>25</v>
      </c>
      <c r="N170">
        <f t="shared" si="2"/>
        <v>1882</v>
      </c>
      <c r="P170" s="8" t="s">
        <v>350</v>
      </c>
      <c r="Q170">
        <v>4928</v>
      </c>
      <c r="R170">
        <v>1842</v>
      </c>
      <c r="S170">
        <v>764</v>
      </c>
      <c r="T170">
        <v>7534</v>
      </c>
      <c r="V170" t="s">
        <v>147</v>
      </c>
      <c r="W170">
        <v>7696</v>
      </c>
      <c r="X170">
        <v>2333</v>
      </c>
      <c r="Y170">
        <v>314</v>
      </c>
      <c r="Z170">
        <v>10343</v>
      </c>
    </row>
    <row r="171" spans="1:26" ht="15.75" customHeight="1" x14ac:dyDescent="0.3">
      <c r="A171" s="2" t="s">
        <v>534</v>
      </c>
      <c r="B171" s="2" t="s">
        <v>27</v>
      </c>
      <c r="C171" s="2" t="s">
        <v>195</v>
      </c>
      <c r="D171" s="2" t="s">
        <v>52</v>
      </c>
      <c r="E171" s="2" t="s">
        <v>53</v>
      </c>
      <c r="F171" s="2">
        <v>4905</v>
      </c>
      <c r="G171" s="2">
        <v>845</v>
      </c>
      <c r="H171" s="2">
        <v>129</v>
      </c>
      <c r="I171" s="2">
        <v>98100</v>
      </c>
      <c r="J171" s="2">
        <v>97772</v>
      </c>
      <c r="K171" s="2">
        <v>279</v>
      </c>
      <c r="L171" s="2" t="s">
        <v>30</v>
      </c>
      <c r="M171" s="2" t="s">
        <v>25</v>
      </c>
      <c r="N171">
        <f t="shared" si="2"/>
        <v>5879</v>
      </c>
      <c r="P171" s="8" t="s">
        <v>514</v>
      </c>
      <c r="Q171">
        <v>1877</v>
      </c>
      <c r="R171">
        <v>745</v>
      </c>
      <c r="S171">
        <v>225</v>
      </c>
      <c r="T171">
        <v>2847</v>
      </c>
      <c r="V171" t="s">
        <v>110</v>
      </c>
      <c r="W171">
        <v>3095</v>
      </c>
      <c r="X171">
        <v>39</v>
      </c>
      <c r="Y171">
        <v>78</v>
      </c>
      <c r="Z171">
        <v>3212</v>
      </c>
    </row>
    <row r="172" spans="1:26" ht="15.75" customHeight="1" x14ac:dyDescent="0.3">
      <c r="A172" s="2" t="s">
        <v>536</v>
      </c>
      <c r="B172" s="2" t="s">
        <v>27</v>
      </c>
      <c r="C172" s="2" t="s">
        <v>537</v>
      </c>
      <c r="D172" s="2" t="s">
        <v>52</v>
      </c>
      <c r="E172" s="2" t="s">
        <v>53</v>
      </c>
      <c r="F172" s="2">
        <v>3166</v>
      </c>
      <c r="G172" s="2">
        <v>90</v>
      </c>
      <c r="H172" s="2">
        <v>341</v>
      </c>
      <c r="I172" s="2">
        <v>56988</v>
      </c>
      <c r="J172" s="2">
        <v>56125</v>
      </c>
      <c r="K172" s="2">
        <v>135</v>
      </c>
      <c r="L172" s="2" t="s">
        <v>37</v>
      </c>
      <c r="M172" s="2" t="s">
        <v>25</v>
      </c>
      <c r="N172">
        <f t="shared" si="2"/>
        <v>3597</v>
      </c>
      <c r="P172" s="8" t="s">
        <v>147</v>
      </c>
      <c r="Q172">
        <v>7696</v>
      </c>
      <c r="R172">
        <v>2333</v>
      </c>
      <c r="S172">
        <v>314</v>
      </c>
      <c r="T172">
        <v>10343</v>
      </c>
      <c r="V172" t="s">
        <v>92</v>
      </c>
      <c r="W172">
        <v>6504</v>
      </c>
      <c r="X172">
        <v>1158</v>
      </c>
      <c r="Y172">
        <v>416</v>
      </c>
      <c r="Z172">
        <v>8078</v>
      </c>
    </row>
    <row r="173" spans="1:26" ht="15.75" customHeight="1" x14ac:dyDescent="0.3">
      <c r="A173" s="2" t="s">
        <v>540</v>
      </c>
      <c r="B173" s="2" t="s">
        <v>14</v>
      </c>
      <c r="C173" s="2" t="s">
        <v>541</v>
      </c>
      <c r="D173" s="2" t="s">
        <v>16</v>
      </c>
      <c r="E173" s="2" t="s">
        <v>17</v>
      </c>
      <c r="F173" s="2">
        <v>3367</v>
      </c>
      <c r="G173" s="2">
        <v>302</v>
      </c>
      <c r="H173" s="2">
        <v>57</v>
      </c>
      <c r="I173" s="2">
        <v>63973</v>
      </c>
      <c r="J173" s="2">
        <v>63789</v>
      </c>
      <c r="K173" s="2">
        <v>157</v>
      </c>
      <c r="L173" s="2" t="s">
        <v>62</v>
      </c>
      <c r="M173" s="2" t="s">
        <v>25</v>
      </c>
      <c r="N173">
        <f t="shared" si="2"/>
        <v>3726</v>
      </c>
      <c r="P173" s="8" t="s">
        <v>110</v>
      </c>
      <c r="Q173">
        <v>3095</v>
      </c>
      <c r="R173">
        <v>39</v>
      </c>
      <c r="S173">
        <v>78</v>
      </c>
      <c r="T173">
        <v>3212</v>
      </c>
      <c r="V173" t="s">
        <v>140</v>
      </c>
      <c r="W173">
        <v>2358</v>
      </c>
      <c r="X173">
        <v>784</v>
      </c>
      <c r="Y173">
        <v>344</v>
      </c>
      <c r="Z173">
        <v>3486</v>
      </c>
    </row>
    <row r="174" spans="1:26" ht="15.75" customHeight="1" x14ac:dyDescent="0.3">
      <c r="A174" s="2" t="s">
        <v>559</v>
      </c>
      <c r="B174" s="2" t="s">
        <v>14</v>
      </c>
      <c r="C174" s="2" t="s">
        <v>436</v>
      </c>
      <c r="D174" s="2" t="s">
        <v>52</v>
      </c>
      <c r="E174" s="2" t="s">
        <v>132</v>
      </c>
      <c r="F174" s="2">
        <v>1952</v>
      </c>
      <c r="G174" s="2">
        <v>344</v>
      </c>
      <c r="H174" s="2">
        <v>287</v>
      </c>
      <c r="I174" s="2">
        <v>15616</v>
      </c>
      <c r="J174" s="2">
        <v>15403</v>
      </c>
      <c r="K174" s="2">
        <v>235</v>
      </c>
      <c r="L174" s="2" t="s">
        <v>216</v>
      </c>
      <c r="M174" s="2" t="s">
        <v>25</v>
      </c>
      <c r="N174">
        <f t="shared" si="2"/>
        <v>2583</v>
      </c>
      <c r="P174" s="8" t="s">
        <v>92</v>
      </c>
      <c r="Q174">
        <v>6504</v>
      </c>
      <c r="R174">
        <v>1158</v>
      </c>
      <c r="S174">
        <v>416</v>
      </c>
      <c r="T174">
        <v>8078</v>
      </c>
      <c r="V174" t="s">
        <v>197</v>
      </c>
      <c r="W174">
        <v>4170</v>
      </c>
      <c r="X174">
        <v>944</v>
      </c>
      <c r="Y174">
        <v>160</v>
      </c>
      <c r="Z174">
        <v>5274</v>
      </c>
    </row>
    <row r="175" spans="1:26" ht="15.75" customHeight="1" x14ac:dyDescent="0.3">
      <c r="A175" s="2" t="s">
        <v>32</v>
      </c>
      <c r="B175" s="2" t="s">
        <v>33</v>
      </c>
      <c r="C175" s="2" t="s">
        <v>34</v>
      </c>
      <c r="D175" s="2" t="s">
        <v>35</v>
      </c>
      <c r="E175" s="2" t="s">
        <v>36</v>
      </c>
      <c r="F175" s="2">
        <v>2404</v>
      </c>
      <c r="G175" s="2">
        <v>363</v>
      </c>
      <c r="H175" s="2">
        <v>138</v>
      </c>
      <c r="I175" s="2">
        <v>19232</v>
      </c>
      <c r="J175" s="2">
        <v>18636</v>
      </c>
      <c r="K175" s="2">
        <v>128</v>
      </c>
      <c r="L175" s="2" t="s">
        <v>37</v>
      </c>
      <c r="M175" s="2" t="s">
        <v>38</v>
      </c>
      <c r="N175">
        <f t="shared" si="2"/>
        <v>2905</v>
      </c>
      <c r="P175" s="8" t="s">
        <v>140</v>
      </c>
      <c r="Q175">
        <v>2358</v>
      </c>
      <c r="R175">
        <v>784</v>
      </c>
      <c r="S175">
        <v>344</v>
      </c>
      <c r="T175">
        <v>3486</v>
      </c>
      <c r="V175" t="s">
        <v>106</v>
      </c>
      <c r="W175">
        <v>3628</v>
      </c>
      <c r="X175">
        <v>1582</v>
      </c>
      <c r="Y175">
        <v>644</v>
      </c>
      <c r="Z175">
        <v>5854</v>
      </c>
    </row>
    <row r="176" spans="1:26" ht="15.75" customHeight="1" x14ac:dyDescent="0.3">
      <c r="A176" s="2" t="s">
        <v>50</v>
      </c>
      <c r="B176" s="2" t="s">
        <v>27</v>
      </c>
      <c r="C176" s="2" t="s">
        <v>51</v>
      </c>
      <c r="D176" s="2" t="s">
        <v>52</v>
      </c>
      <c r="E176" s="2" t="s">
        <v>53</v>
      </c>
      <c r="F176" s="2">
        <v>3929</v>
      </c>
      <c r="G176" s="2">
        <v>262</v>
      </c>
      <c r="H176" s="2">
        <v>278</v>
      </c>
      <c r="I176" s="2">
        <v>43219</v>
      </c>
      <c r="J176" s="2">
        <v>42841</v>
      </c>
      <c r="K176" s="2">
        <v>39</v>
      </c>
      <c r="L176" s="2" t="s">
        <v>37</v>
      </c>
      <c r="M176" s="2" t="s">
        <v>38</v>
      </c>
      <c r="N176">
        <f t="shared" si="2"/>
        <v>4469</v>
      </c>
      <c r="P176" s="8" t="s">
        <v>197</v>
      </c>
      <c r="Q176">
        <v>4170</v>
      </c>
      <c r="R176">
        <v>944</v>
      </c>
      <c r="S176">
        <v>160</v>
      </c>
      <c r="T176">
        <v>5274</v>
      </c>
      <c r="V176" t="s">
        <v>136</v>
      </c>
      <c r="W176">
        <v>1543</v>
      </c>
      <c r="X176">
        <v>820</v>
      </c>
      <c r="Y176">
        <v>333</v>
      </c>
      <c r="Z176">
        <v>2696</v>
      </c>
    </row>
    <row r="177" spans="1:26" ht="15.75" customHeight="1" x14ac:dyDescent="0.3">
      <c r="A177" s="2" t="s">
        <v>60</v>
      </c>
      <c r="B177" s="2" t="s">
        <v>33</v>
      </c>
      <c r="C177" s="2" t="s">
        <v>61</v>
      </c>
      <c r="D177" s="2" t="s">
        <v>35</v>
      </c>
      <c r="E177" s="2" t="s">
        <v>36</v>
      </c>
      <c r="F177" s="2">
        <v>1792</v>
      </c>
      <c r="G177" s="2">
        <v>614</v>
      </c>
      <c r="H177" s="2">
        <v>497</v>
      </c>
      <c r="I177" s="2">
        <v>25088</v>
      </c>
      <c r="J177" s="2">
        <v>24675</v>
      </c>
      <c r="K177" s="2">
        <v>65</v>
      </c>
      <c r="L177" s="2" t="s">
        <v>62</v>
      </c>
      <c r="M177" s="2" t="s">
        <v>38</v>
      </c>
      <c r="N177">
        <f t="shared" si="2"/>
        <v>2903</v>
      </c>
      <c r="P177" s="8" t="s">
        <v>106</v>
      </c>
      <c r="Q177">
        <v>3628</v>
      </c>
      <c r="R177">
        <v>1582</v>
      </c>
      <c r="S177">
        <v>644</v>
      </c>
      <c r="T177">
        <v>5854</v>
      </c>
      <c r="V177" t="s">
        <v>476</v>
      </c>
      <c r="W177">
        <v>3592</v>
      </c>
      <c r="X177">
        <v>911</v>
      </c>
      <c r="Y177">
        <v>375</v>
      </c>
      <c r="Z177">
        <v>4878</v>
      </c>
    </row>
    <row r="178" spans="1:26" ht="15.75" customHeight="1" x14ac:dyDescent="0.3">
      <c r="A178" s="2" t="s">
        <v>78</v>
      </c>
      <c r="B178" s="2" t="s">
        <v>43</v>
      </c>
      <c r="C178" s="2" t="s">
        <v>79</v>
      </c>
      <c r="D178" s="2" t="s">
        <v>22</v>
      </c>
      <c r="E178" s="2" t="s">
        <v>56</v>
      </c>
      <c r="F178" s="2">
        <v>4441</v>
      </c>
      <c r="G178" s="2">
        <v>511</v>
      </c>
      <c r="H178" s="2">
        <v>70</v>
      </c>
      <c r="I178" s="2">
        <v>53292</v>
      </c>
      <c r="J178" s="2">
        <v>53082</v>
      </c>
      <c r="K178" s="2">
        <v>159</v>
      </c>
      <c r="L178" s="2" t="s">
        <v>37</v>
      </c>
      <c r="M178" s="2" t="s">
        <v>38</v>
      </c>
      <c r="N178">
        <f t="shared" si="2"/>
        <v>5022</v>
      </c>
      <c r="P178" s="8" t="s">
        <v>136</v>
      </c>
      <c r="Q178">
        <v>1543</v>
      </c>
      <c r="R178">
        <v>820</v>
      </c>
      <c r="S178">
        <v>333</v>
      </c>
      <c r="T178">
        <v>2696</v>
      </c>
      <c r="V178" t="s">
        <v>131</v>
      </c>
      <c r="W178">
        <v>4750</v>
      </c>
      <c r="X178">
        <v>151</v>
      </c>
      <c r="Y178">
        <v>415</v>
      </c>
      <c r="Z178">
        <v>5316</v>
      </c>
    </row>
    <row r="179" spans="1:26" ht="15.75" customHeight="1" x14ac:dyDescent="0.3">
      <c r="A179" s="2" t="s">
        <v>83</v>
      </c>
      <c r="B179" s="2" t="s">
        <v>33</v>
      </c>
      <c r="C179" s="2" t="s">
        <v>84</v>
      </c>
      <c r="D179" s="2" t="s">
        <v>74</v>
      </c>
      <c r="E179" s="2" t="s">
        <v>85</v>
      </c>
      <c r="F179" s="2">
        <v>1071</v>
      </c>
      <c r="G179" s="2">
        <v>519</v>
      </c>
      <c r="H179" s="2">
        <v>22</v>
      </c>
      <c r="I179" s="2">
        <v>16065</v>
      </c>
      <c r="J179" s="2">
        <v>15865</v>
      </c>
      <c r="K179" s="2">
        <v>103</v>
      </c>
      <c r="L179" s="2" t="s">
        <v>30</v>
      </c>
      <c r="M179" s="2" t="s">
        <v>38</v>
      </c>
      <c r="N179">
        <f t="shared" si="2"/>
        <v>1612</v>
      </c>
      <c r="P179" s="8" t="s">
        <v>476</v>
      </c>
      <c r="Q179">
        <v>3592</v>
      </c>
      <c r="R179">
        <v>911</v>
      </c>
      <c r="S179">
        <v>375</v>
      </c>
      <c r="T179">
        <v>4878</v>
      </c>
      <c r="V179" t="s">
        <v>134</v>
      </c>
      <c r="W179">
        <v>4130</v>
      </c>
      <c r="X179">
        <v>1520</v>
      </c>
      <c r="Y179">
        <v>1058</v>
      </c>
      <c r="Z179">
        <v>6708</v>
      </c>
    </row>
    <row r="180" spans="1:26" ht="15.75" customHeight="1" x14ac:dyDescent="0.3">
      <c r="A180" s="2" t="s">
        <v>89</v>
      </c>
      <c r="B180" s="2" t="s">
        <v>33</v>
      </c>
      <c r="C180" s="2" t="s">
        <v>90</v>
      </c>
      <c r="D180" s="2" t="s">
        <v>16</v>
      </c>
      <c r="E180" s="2" t="s">
        <v>82</v>
      </c>
      <c r="F180" s="2">
        <v>4838</v>
      </c>
      <c r="G180" s="2">
        <v>640</v>
      </c>
      <c r="H180" s="2">
        <v>128</v>
      </c>
      <c r="I180" s="2">
        <v>72570</v>
      </c>
      <c r="J180" s="2">
        <v>72396</v>
      </c>
      <c r="K180" s="2">
        <v>83</v>
      </c>
      <c r="L180" s="2" t="s">
        <v>62</v>
      </c>
      <c r="M180" s="2" t="s">
        <v>38</v>
      </c>
      <c r="N180">
        <f t="shared" si="2"/>
        <v>5606</v>
      </c>
      <c r="P180" s="8" t="s">
        <v>131</v>
      </c>
      <c r="Q180">
        <v>4750</v>
      </c>
      <c r="R180">
        <v>151</v>
      </c>
      <c r="S180">
        <v>415</v>
      </c>
      <c r="T180">
        <v>5316</v>
      </c>
      <c r="V180" t="s">
        <v>58</v>
      </c>
      <c r="W180">
        <v>6191</v>
      </c>
      <c r="X180">
        <v>1197</v>
      </c>
      <c r="Y180">
        <v>525</v>
      </c>
      <c r="Z180">
        <v>7913</v>
      </c>
    </row>
    <row r="181" spans="1:26" ht="15.75" customHeight="1" x14ac:dyDescent="0.3">
      <c r="A181" s="2" t="s">
        <v>91</v>
      </c>
      <c r="B181" s="2" t="s">
        <v>43</v>
      </c>
      <c r="C181" s="2" t="s">
        <v>92</v>
      </c>
      <c r="D181" s="2" t="s">
        <v>22</v>
      </c>
      <c r="E181" s="2" t="s">
        <v>56</v>
      </c>
      <c r="F181" s="2">
        <v>1570</v>
      </c>
      <c r="G181" s="2">
        <v>187</v>
      </c>
      <c r="H181" s="2">
        <v>260</v>
      </c>
      <c r="I181" s="2">
        <v>25120</v>
      </c>
      <c r="J181" s="2">
        <v>24613</v>
      </c>
      <c r="K181" s="2">
        <v>133</v>
      </c>
      <c r="L181" s="2" t="s">
        <v>30</v>
      </c>
      <c r="M181" s="2" t="s">
        <v>38</v>
      </c>
      <c r="N181">
        <f t="shared" si="2"/>
        <v>2017</v>
      </c>
      <c r="P181" s="8" t="s">
        <v>134</v>
      </c>
      <c r="Q181">
        <v>4130</v>
      </c>
      <c r="R181">
        <v>1520</v>
      </c>
      <c r="S181">
        <v>1058</v>
      </c>
      <c r="T181">
        <v>6708</v>
      </c>
      <c r="V181" t="s">
        <v>162</v>
      </c>
      <c r="W181">
        <v>1686</v>
      </c>
      <c r="X181">
        <v>904</v>
      </c>
      <c r="Y181">
        <v>472</v>
      </c>
      <c r="Z181">
        <v>3062</v>
      </c>
    </row>
    <row r="182" spans="1:26" ht="15.75" customHeight="1" x14ac:dyDescent="0.3">
      <c r="A182" s="2" t="s">
        <v>102</v>
      </c>
      <c r="B182" s="2" t="s">
        <v>27</v>
      </c>
      <c r="C182" s="2" t="s">
        <v>103</v>
      </c>
      <c r="D182" s="2" t="s">
        <v>22</v>
      </c>
      <c r="E182" s="2" t="s">
        <v>104</v>
      </c>
      <c r="F182" s="2">
        <v>2076</v>
      </c>
      <c r="G182" s="2">
        <v>195</v>
      </c>
      <c r="H182" s="2">
        <v>104</v>
      </c>
      <c r="I182" s="2">
        <v>33216</v>
      </c>
      <c r="J182" s="2">
        <v>32244</v>
      </c>
      <c r="K182" s="2">
        <v>51</v>
      </c>
      <c r="L182" s="2" t="s">
        <v>62</v>
      </c>
      <c r="M182" s="2" t="s">
        <v>38</v>
      </c>
      <c r="N182">
        <f t="shared" si="2"/>
        <v>2375</v>
      </c>
      <c r="P182" s="8" t="s">
        <v>58</v>
      </c>
      <c r="Q182">
        <v>6191</v>
      </c>
      <c r="R182">
        <v>1197</v>
      </c>
      <c r="S182">
        <v>525</v>
      </c>
      <c r="T182">
        <v>7913</v>
      </c>
      <c r="V182" t="s">
        <v>280</v>
      </c>
      <c r="W182">
        <v>3704</v>
      </c>
      <c r="X182">
        <v>186</v>
      </c>
      <c r="Y182">
        <v>458</v>
      </c>
      <c r="Z182">
        <v>4348</v>
      </c>
    </row>
    <row r="183" spans="1:26" ht="15.75" customHeight="1" x14ac:dyDescent="0.3">
      <c r="A183" s="2" t="s">
        <v>105</v>
      </c>
      <c r="B183" s="2" t="s">
        <v>33</v>
      </c>
      <c r="C183" s="2" t="s">
        <v>106</v>
      </c>
      <c r="D183" s="2" t="s">
        <v>74</v>
      </c>
      <c r="E183" s="2" t="s">
        <v>85</v>
      </c>
      <c r="F183" s="2">
        <v>432</v>
      </c>
      <c r="G183" s="2">
        <v>624</v>
      </c>
      <c r="H183" s="2">
        <v>123</v>
      </c>
      <c r="I183" s="2">
        <v>6912</v>
      </c>
      <c r="J183" s="2">
        <v>6259</v>
      </c>
      <c r="K183" s="2">
        <v>79</v>
      </c>
      <c r="L183" s="2" t="s">
        <v>62</v>
      </c>
      <c r="M183" s="2" t="s">
        <v>38</v>
      </c>
      <c r="N183">
        <f t="shared" si="2"/>
        <v>1179</v>
      </c>
      <c r="P183" s="8" t="s">
        <v>162</v>
      </c>
      <c r="Q183">
        <v>1686</v>
      </c>
      <c r="R183">
        <v>904</v>
      </c>
      <c r="S183">
        <v>472</v>
      </c>
      <c r="T183">
        <v>3062</v>
      </c>
      <c r="V183" t="s">
        <v>427</v>
      </c>
      <c r="W183">
        <v>3160</v>
      </c>
      <c r="X183">
        <v>204</v>
      </c>
      <c r="Y183">
        <v>297</v>
      </c>
      <c r="Z183">
        <v>3661</v>
      </c>
    </row>
    <row r="184" spans="1:26" ht="15.75" customHeight="1" x14ac:dyDescent="0.3">
      <c r="A184" s="2" t="s">
        <v>126</v>
      </c>
      <c r="B184" s="2" t="s">
        <v>27</v>
      </c>
      <c r="C184" s="2" t="s">
        <v>127</v>
      </c>
      <c r="D184" s="2" t="s">
        <v>16</v>
      </c>
      <c r="E184" s="2" t="s">
        <v>29</v>
      </c>
      <c r="F184" s="2">
        <v>3138</v>
      </c>
      <c r="G184" s="2">
        <v>123</v>
      </c>
      <c r="H184" s="2">
        <v>291</v>
      </c>
      <c r="I184" s="2">
        <v>28242</v>
      </c>
      <c r="J184" s="2">
        <v>27550</v>
      </c>
      <c r="K184" s="2">
        <v>87</v>
      </c>
      <c r="L184" s="2" t="s">
        <v>30</v>
      </c>
      <c r="M184" s="2" t="s">
        <v>38</v>
      </c>
      <c r="N184">
        <f t="shared" si="2"/>
        <v>3552</v>
      </c>
      <c r="P184" s="8" t="s">
        <v>280</v>
      </c>
      <c r="Q184">
        <v>3704</v>
      </c>
      <c r="R184">
        <v>186</v>
      </c>
      <c r="S184">
        <v>458</v>
      </c>
      <c r="T184">
        <v>4348</v>
      </c>
      <c r="V184" t="s">
        <v>382</v>
      </c>
      <c r="W184">
        <v>606</v>
      </c>
      <c r="X184">
        <v>789</v>
      </c>
      <c r="Y184">
        <v>470</v>
      </c>
      <c r="Z184">
        <v>1865</v>
      </c>
    </row>
    <row r="185" spans="1:26" ht="15.75" customHeight="1" x14ac:dyDescent="0.3">
      <c r="A185" s="2" t="s">
        <v>130</v>
      </c>
      <c r="B185" s="2" t="s">
        <v>14</v>
      </c>
      <c r="C185" s="2" t="s">
        <v>131</v>
      </c>
      <c r="D185" s="2" t="s">
        <v>52</v>
      </c>
      <c r="E185" s="2" t="s">
        <v>132</v>
      </c>
      <c r="F185" s="2">
        <v>4750</v>
      </c>
      <c r="G185" s="2">
        <v>151</v>
      </c>
      <c r="H185" s="2">
        <v>415</v>
      </c>
      <c r="I185" s="2">
        <v>38000</v>
      </c>
      <c r="J185" s="2">
        <v>37792</v>
      </c>
      <c r="K185" s="2">
        <v>299</v>
      </c>
      <c r="L185" s="2" t="s">
        <v>37</v>
      </c>
      <c r="M185" s="2" t="s">
        <v>38</v>
      </c>
      <c r="N185">
        <f t="shared" si="2"/>
        <v>5316</v>
      </c>
      <c r="P185" s="8" t="s">
        <v>427</v>
      </c>
      <c r="Q185">
        <v>3160</v>
      </c>
      <c r="R185">
        <v>204</v>
      </c>
      <c r="S185">
        <v>297</v>
      </c>
      <c r="T185">
        <v>3661</v>
      </c>
      <c r="V185" t="s">
        <v>537</v>
      </c>
      <c r="W185">
        <v>3166</v>
      </c>
      <c r="X185">
        <v>90</v>
      </c>
      <c r="Y185">
        <v>341</v>
      </c>
      <c r="Z185">
        <v>3597</v>
      </c>
    </row>
    <row r="186" spans="1:26" ht="15.75" customHeight="1" x14ac:dyDescent="0.3">
      <c r="A186" s="2" t="s">
        <v>133</v>
      </c>
      <c r="B186" s="2" t="s">
        <v>33</v>
      </c>
      <c r="C186" s="2" t="s">
        <v>134</v>
      </c>
      <c r="D186" s="2" t="s">
        <v>16</v>
      </c>
      <c r="E186" s="2" t="s">
        <v>82</v>
      </c>
      <c r="F186" s="2">
        <v>456</v>
      </c>
      <c r="G186" s="2">
        <v>629</v>
      </c>
      <c r="H186" s="2">
        <v>428</v>
      </c>
      <c r="I186" s="2">
        <v>8208</v>
      </c>
      <c r="J186" s="2">
        <v>7377</v>
      </c>
      <c r="K186" s="2">
        <v>205</v>
      </c>
      <c r="L186" s="2" t="s">
        <v>62</v>
      </c>
      <c r="M186" s="2" t="s">
        <v>38</v>
      </c>
      <c r="N186">
        <f t="shared" si="2"/>
        <v>1513</v>
      </c>
      <c r="P186" s="8" t="s">
        <v>382</v>
      </c>
      <c r="Q186">
        <v>606</v>
      </c>
      <c r="R186">
        <v>789</v>
      </c>
      <c r="S186">
        <v>470</v>
      </c>
      <c r="T186">
        <v>1865</v>
      </c>
      <c r="V186" t="s">
        <v>256</v>
      </c>
      <c r="W186">
        <v>8108</v>
      </c>
      <c r="X186">
        <v>679</v>
      </c>
      <c r="Y186">
        <v>706</v>
      </c>
      <c r="Z186">
        <v>9493</v>
      </c>
    </row>
    <row r="187" spans="1:26" ht="15.75" customHeight="1" x14ac:dyDescent="0.3">
      <c r="A187" s="2" t="s">
        <v>143</v>
      </c>
      <c r="B187" s="2" t="s">
        <v>14</v>
      </c>
      <c r="C187" s="2" t="s">
        <v>144</v>
      </c>
      <c r="D187" s="2" t="s">
        <v>74</v>
      </c>
      <c r="E187" s="2" t="s">
        <v>145</v>
      </c>
      <c r="F187" s="2">
        <v>1108</v>
      </c>
      <c r="G187" s="2">
        <v>177</v>
      </c>
      <c r="H187" s="2">
        <v>212</v>
      </c>
      <c r="I187" s="2">
        <v>8864</v>
      </c>
      <c r="J187" s="2">
        <v>8710</v>
      </c>
      <c r="K187" s="2">
        <v>97</v>
      </c>
      <c r="L187" s="2" t="s">
        <v>30</v>
      </c>
      <c r="M187" s="2" t="s">
        <v>38</v>
      </c>
      <c r="N187">
        <f t="shared" si="2"/>
        <v>1497</v>
      </c>
      <c r="P187" s="8" t="s">
        <v>537</v>
      </c>
      <c r="Q187">
        <v>3166</v>
      </c>
      <c r="R187">
        <v>90</v>
      </c>
      <c r="S187">
        <v>341</v>
      </c>
      <c r="T187">
        <v>3597</v>
      </c>
      <c r="V187" t="s">
        <v>234</v>
      </c>
      <c r="W187">
        <v>4623</v>
      </c>
      <c r="X187">
        <v>922</v>
      </c>
      <c r="Y187">
        <v>857</v>
      </c>
      <c r="Z187">
        <v>6402</v>
      </c>
    </row>
    <row r="188" spans="1:26" ht="15.75" customHeight="1" x14ac:dyDescent="0.3">
      <c r="A188" s="2" t="s">
        <v>150</v>
      </c>
      <c r="B188" s="2" t="s">
        <v>14</v>
      </c>
      <c r="C188" s="2" t="s">
        <v>151</v>
      </c>
      <c r="D188" s="2" t="s">
        <v>35</v>
      </c>
      <c r="E188" s="2" t="s">
        <v>149</v>
      </c>
      <c r="F188" s="2">
        <v>2164</v>
      </c>
      <c r="G188" s="2">
        <v>549</v>
      </c>
      <c r="H188" s="2">
        <v>274</v>
      </c>
      <c r="I188" s="2">
        <v>28132</v>
      </c>
      <c r="J188" s="2">
        <v>27361</v>
      </c>
      <c r="K188" s="2">
        <v>177</v>
      </c>
      <c r="L188" s="2" t="s">
        <v>30</v>
      </c>
      <c r="M188" s="2" t="s">
        <v>38</v>
      </c>
      <c r="N188">
        <f t="shared" si="2"/>
        <v>2987</v>
      </c>
      <c r="P188" s="8" t="s">
        <v>256</v>
      </c>
      <c r="Q188">
        <v>8108</v>
      </c>
      <c r="R188">
        <v>679</v>
      </c>
      <c r="S188">
        <v>706</v>
      </c>
      <c r="T188">
        <v>9493</v>
      </c>
      <c r="V188" t="s">
        <v>264</v>
      </c>
      <c r="W188">
        <v>6120</v>
      </c>
      <c r="X188">
        <v>1146</v>
      </c>
      <c r="Y188">
        <v>733</v>
      </c>
      <c r="Z188">
        <v>7999</v>
      </c>
    </row>
    <row r="189" spans="1:26" ht="15.75" customHeight="1" x14ac:dyDescent="0.3">
      <c r="A189" s="2" t="s">
        <v>157</v>
      </c>
      <c r="B189" s="2" t="s">
        <v>43</v>
      </c>
      <c r="C189" s="2" t="s">
        <v>158</v>
      </c>
      <c r="D189" s="2" t="s">
        <v>52</v>
      </c>
      <c r="E189" s="2" t="s">
        <v>59</v>
      </c>
      <c r="F189" s="2">
        <v>947</v>
      </c>
      <c r="G189" s="2">
        <v>338</v>
      </c>
      <c r="H189" s="2">
        <v>350</v>
      </c>
      <c r="I189" s="2">
        <v>10417</v>
      </c>
      <c r="J189" s="2">
        <v>9730</v>
      </c>
      <c r="K189" s="2">
        <v>34</v>
      </c>
      <c r="L189" s="2" t="s">
        <v>30</v>
      </c>
      <c r="M189" s="2" t="s">
        <v>38</v>
      </c>
      <c r="N189">
        <f t="shared" si="2"/>
        <v>1635</v>
      </c>
      <c r="P189" s="8" t="s">
        <v>234</v>
      </c>
      <c r="Q189">
        <v>4623</v>
      </c>
      <c r="R189">
        <v>922</v>
      </c>
      <c r="S189">
        <v>857</v>
      </c>
      <c r="T189">
        <v>6402</v>
      </c>
      <c r="V189" t="s">
        <v>119</v>
      </c>
      <c r="W189">
        <v>1652</v>
      </c>
      <c r="X189">
        <v>89</v>
      </c>
      <c r="Y189">
        <v>357</v>
      </c>
      <c r="Z189">
        <v>2098</v>
      </c>
    </row>
    <row r="190" spans="1:26" ht="15.75" customHeight="1" x14ac:dyDescent="0.3">
      <c r="A190" s="2" t="s">
        <v>163</v>
      </c>
      <c r="B190" s="2" t="s">
        <v>43</v>
      </c>
      <c r="C190" s="2" t="s">
        <v>164</v>
      </c>
      <c r="D190" s="2" t="s">
        <v>52</v>
      </c>
      <c r="E190" s="2" t="s">
        <v>59</v>
      </c>
      <c r="F190" s="2">
        <v>1226</v>
      </c>
      <c r="G190" s="2">
        <v>119</v>
      </c>
      <c r="H190" s="2">
        <v>7</v>
      </c>
      <c r="I190" s="2">
        <v>14712</v>
      </c>
      <c r="J190" s="2">
        <v>14049</v>
      </c>
      <c r="K190" s="2">
        <v>123</v>
      </c>
      <c r="L190" s="2" t="s">
        <v>37</v>
      </c>
      <c r="M190" s="2" t="s">
        <v>38</v>
      </c>
      <c r="N190">
        <f t="shared" si="2"/>
        <v>1352</v>
      </c>
      <c r="P190" s="8" t="s">
        <v>264</v>
      </c>
      <c r="Q190">
        <v>6120</v>
      </c>
      <c r="R190">
        <v>1146</v>
      </c>
      <c r="S190">
        <v>733</v>
      </c>
      <c r="T190">
        <v>7999</v>
      </c>
      <c r="V190" t="s">
        <v>490</v>
      </c>
      <c r="W190">
        <v>6318</v>
      </c>
      <c r="X190">
        <v>1210</v>
      </c>
      <c r="Y190">
        <v>653</v>
      </c>
      <c r="Z190">
        <v>8181</v>
      </c>
    </row>
    <row r="191" spans="1:26" ht="15.75" customHeight="1" x14ac:dyDescent="0.3">
      <c r="A191" s="2" t="s">
        <v>169</v>
      </c>
      <c r="B191" s="2" t="s">
        <v>33</v>
      </c>
      <c r="C191" s="2" t="s">
        <v>170</v>
      </c>
      <c r="D191" s="2" t="s">
        <v>16</v>
      </c>
      <c r="E191" s="2" t="s">
        <v>82</v>
      </c>
      <c r="F191" s="2">
        <v>103</v>
      </c>
      <c r="G191" s="2">
        <v>770</v>
      </c>
      <c r="H191" s="2">
        <v>19</v>
      </c>
      <c r="I191" s="2">
        <v>1030</v>
      </c>
      <c r="J191" s="2">
        <v>410</v>
      </c>
      <c r="K191" s="2">
        <v>262</v>
      </c>
      <c r="L191" s="2" t="s">
        <v>30</v>
      </c>
      <c r="M191" s="2" t="s">
        <v>38</v>
      </c>
      <c r="N191">
        <f t="shared" si="2"/>
        <v>892</v>
      </c>
      <c r="P191" s="8" t="s">
        <v>119</v>
      </c>
      <c r="Q191">
        <v>1652</v>
      </c>
      <c r="R191">
        <v>89</v>
      </c>
      <c r="S191">
        <v>357</v>
      </c>
      <c r="T191">
        <v>2098</v>
      </c>
      <c r="V191" t="s">
        <v>184</v>
      </c>
      <c r="W191">
        <v>6039</v>
      </c>
      <c r="X191">
        <v>668</v>
      </c>
      <c r="Y191">
        <v>340</v>
      </c>
      <c r="Z191">
        <v>7047</v>
      </c>
    </row>
    <row r="192" spans="1:26" ht="15.75" customHeight="1" x14ac:dyDescent="0.3">
      <c r="A192" s="2" t="s">
        <v>198</v>
      </c>
      <c r="B192" s="2" t="s">
        <v>43</v>
      </c>
      <c r="C192" s="2" t="s">
        <v>199</v>
      </c>
      <c r="D192" s="2" t="s">
        <v>35</v>
      </c>
      <c r="E192" s="2" t="s">
        <v>71</v>
      </c>
      <c r="F192" s="2">
        <v>4126</v>
      </c>
      <c r="G192" s="2">
        <v>426</v>
      </c>
      <c r="H192" s="2">
        <v>486</v>
      </c>
      <c r="I192" s="2">
        <v>78394</v>
      </c>
      <c r="J192" s="2">
        <v>77798</v>
      </c>
      <c r="K192" s="2">
        <v>88</v>
      </c>
      <c r="L192" s="2" t="s">
        <v>62</v>
      </c>
      <c r="M192" s="2" t="s">
        <v>38</v>
      </c>
      <c r="N192">
        <f t="shared" si="2"/>
        <v>5038</v>
      </c>
      <c r="P192" s="8" t="s">
        <v>490</v>
      </c>
      <c r="Q192">
        <v>6318</v>
      </c>
      <c r="R192">
        <v>1210</v>
      </c>
      <c r="S192">
        <v>653</v>
      </c>
      <c r="T192">
        <v>8181</v>
      </c>
      <c r="V192" t="s">
        <v>188</v>
      </c>
      <c r="W192">
        <v>5017</v>
      </c>
      <c r="X192">
        <v>755</v>
      </c>
      <c r="Y192">
        <v>370</v>
      </c>
      <c r="Z192">
        <v>6142</v>
      </c>
    </row>
    <row r="193" spans="1:26" ht="15.75" customHeight="1" x14ac:dyDescent="0.3">
      <c r="A193" s="2" t="s">
        <v>202</v>
      </c>
      <c r="B193" s="2" t="s">
        <v>33</v>
      </c>
      <c r="C193" s="2" t="s">
        <v>203</v>
      </c>
      <c r="D193" s="2" t="s">
        <v>16</v>
      </c>
      <c r="E193" s="2" t="s">
        <v>82</v>
      </c>
      <c r="F193" s="2">
        <v>1674</v>
      </c>
      <c r="G193" s="2">
        <v>929</v>
      </c>
      <c r="H193" s="2">
        <v>37</v>
      </c>
      <c r="I193" s="2">
        <v>21762</v>
      </c>
      <c r="J193" s="2">
        <v>20998</v>
      </c>
      <c r="K193" s="2">
        <v>255</v>
      </c>
      <c r="L193" s="2" t="s">
        <v>30</v>
      </c>
      <c r="M193" s="2" t="s">
        <v>38</v>
      </c>
      <c r="N193">
        <f t="shared" si="2"/>
        <v>2640</v>
      </c>
      <c r="P193" s="8" t="s">
        <v>184</v>
      </c>
      <c r="Q193">
        <v>6039</v>
      </c>
      <c r="R193">
        <v>668</v>
      </c>
      <c r="S193">
        <v>340</v>
      </c>
      <c r="T193">
        <v>7047</v>
      </c>
      <c r="V193" t="s">
        <v>352</v>
      </c>
      <c r="W193">
        <v>3430</v>
      </c>
      <c r="X193">
        <v>566</v>
      </c>
      <c r="Y193">
        <v>164</v>
      </c>
      <c r="Z193">
        <v>4160</v>
      </c>
    </row>
    <row r="194" spans="1:26" ht="15.75" customHeight="1" x14ac:dyDescent="0.3">
      <c r="A194" s="2" t="s">
        <v>204</v>
      </c>
      <c r="B194" s="2" t="s">
        <v>14</v>
      </c>
      <c r="C194" s="2" t="s">
        <v>205</v>
      </c>
      <c r="D194" s="2" t="s">
        <v>35</v>
      </c>
      <c r="E194" s="2" t="s">
        <v>149</v>
      </c>
      <c r="F194" s="2">
        <v>1121</v>
      </c>
      <c r="G194" s="2">
        <v>135</v>
      </c>
      <c r="H194" s="2">
        <v>18</v>
      </c>
      <c r="I194" s="2">
        <v>15694</v>
      </c>
      <c r="J194" s="2">
        <v>14957</v>
      </c>
      <c r="K194" s="2">
        <v>99</v>
      </c>
      <c r="L194" s="2" t="s">
        <v>30</v>
      </c>
      <c r="M194" s="2" t="s">
        <v>38</v>
      </c>
      <c r="N194">
        <f t="shared" si="2"/>
        <v>1274</v>
      </c>
      <c r="P194" s="8" t="s">
        <v>188</v>
      </c>
      <c r="Q194">
        <v>5017</v>
      </c>
      <c r="R194">
        <v>755</v>
      </c>
      <c r="S194">
        <v>370</v>
      </c>
      <c r="T194">
        <v>6142</v>
      </c>
      <c r="V194" t="s">
        <v>193</v>
      </c>
      <c r="W194">
        <v>199</v>
      </c>
      <c r="X194">
        <v>772</v>
      </c>
      <c r="Y194">
        <v>400</v>
      </c>
      <c r="Z194">
        <v>1371</v>
      </c>
    </row>
    <row r="195" spans="1:26" ht="15.75" customHeight="1" x14ac:dyDescent="0.3">
      <c r="A195" s="2" t="s">
        <v>207</v>
      </c>
      <c r="B195" s="2" t="s">
        <v>14</v>
      </c>
      <c r="C195" s="2" t="s">
        <v>164</v>
      </c>
      <c r="D195" s="2" t="s">
        <v>52</v>
      </c>
      <c r="E195" s="2" t="s">
        <v>132</v>
      </c>
      <c r="F195" s="2">
        <v>954</v>
      </c>
      <c r="G195" s="2">
        <v>324</v>
      </c>
      <c r="H195" s="2">
        <v>288</v>
      </c>
      <c r="I195" s="2">
        <v>19080</v>
      </c>
      <c r="J195" s="2">
        <v>18859</v>
      </c>
      <c r="K195" s="2">
        <v>21</v>
      </c>
      <c r="L195" s="2" t="s">
        <v>62</v>
      </c>
      <c r="M195" s="2" t="s">
        <v>38</v>
      </c>
      <c r="N195">
        <f t="shared" ref="N195:N258" si="3">F195+G195+H195</f>
        <v>1566</v>
      </c>
      <c r="P195" s="8" t="s">
        <v>352</v>
      </c>
      <c r="Q195">
        <v>3430</v>
      </c>
      <c r="R195">
        <v>566</v>
      </c>
      <c r="S195">
        <v>164</v>
      </c>
      <c r="T195">
        <v>4160</v>
      </c>
      <c r="V195" t="s">
        <v>21</v>
      </c>
      <c r="W195">
        <v>7821</v>
      </c>
      <c r="X195">
        <v>903</v>
      </c>
      <c r="Y195">
        <v>731</v>
      </c>
      <c r="Z195">
        <v>9455</v>
      </c>
    </row>
    <row r="196" spans="1:26" ht="15.75" customHeight="1" x14ac:dyDescent="0.3">
      <c r="A196" s="2" t="s">
        <v>220</v>
      </c>
      <c r="B196" s="2" t="s">
        <v>43</v>
      </c>
      <c r="C196" s="2" t="s">
        <v>221</v>
      </c>
      <c r="D196" s="2" t="s">
        <v>52</v>
      </c>
      <c r="E196" s="2" t="s">
        <v>59</v>
      </c>
      <c r="F196" s="2">
        <v>1841</v>
      </c>
      <c r="G196" s="2">
        <v>851</v>
      </c>
      <c r="H196" s="2">
        <v>342</v>
      </c>
      <c r="I196" s="2">
        <v>34979</v>
      </c>
      <c r="J196" s="2">
        <v>34154</v>
      </c>
      <c r="K196" s="2">
        <v>255</v>
      </c>
      <c r="L196" s="2" t="s">
        <v>62</v>
      </c>
      <c r="M196" s="2" t="s">
        <v>38</v>
      </c>
      <c r="N196">
        <f t="shared" si="3"/>
        <v>3034</v>
      </c>
      <c r="P196" s="8" t="s">
        <v>193</v>
      </c>
      <c r="Q196">
        <v>199</v>
      </c>
      <c r="R196">
        <v>772</v>
      </c>
      <c r="S196">
        <v>400</v>
      </c>
      <c r="T196">
        <v>1371</v>
      </c>
      <c r="V196" t="s">
        <v>101</v>
      </c>
      <c r="W196">
        <v>3009</v>
      </c>
      <c r="X196">
        <v>413</v>
      </c>
      <c r="Y196">
        <v>358</v>
      </c>
      <c r="Z196">
        <v>3780</v>
      </c>
    </row>
    <row r="197" spans="1:26" ht="15.75" customHeight="1" x14ac:dyDescent="0.3">
      <c r="A197" s="2" t="s">
        <v>223</v>
      </c>
      <c r="B197" s="2" t="s">
        <v>27</v>
      </c>
      <c r="C197" s="2" t="s">
        <v>224</v>
      </c>
      <c r="D197" s="2" t="s">
        <v>22</v>
      </c>
      <c r="E197" s="2" t="s">
        <v>104</v>
      </c>
      <c r="F197" s="2">
        <v>3428</v>
      </c>
      <c r="G197" s="2">
        <v>305</v>
      </c>
      <c r="H197" s="2">
        <v>85</v>
      </c>
      <c r="I197" s="2">
        <v>58276</v>
      </c>
      <c r="J197" s="2">
        <v>58052</v>
      </c>
      <c r="K197" s="2">
        <v>242</v>
      </c>
      <c r="L197" s="2" t="s">
        <v>160</v>
      </c>
      <c r="M197" s="2" t="s">
        <v>38</v>
      </c>
      <c r="N197">
        <f t="shared" si="3"/>
        <v>3818</v>
      </c>
      <c r="P197" s="8" t="s">
        <v>21</v>
      </c>
      <c r="Q197">
        <v>7821</v>
      </c>
      <c r="R197">
        <v>903</v>
      </c>
      <c r="S197">
        <v>731</v>
      </c>
      <c r="T197">
        <v>9455</v>
      </c>
      <c r="V197" t="s">
        <v>291</v>
      </c>
      <c r="W197">
        <v>8062</v>
      </c>
      <c r="X197">
        <v>2179</v>
      </c>
      <c r="Y197">
        <v>687</v>
      </c>
      <c r="Z197">
        <v>10928</v>
      </c>
    </row>
    <row r="198" spans="1:26" ht="15.75" customHeight="1" x14ac:dyDescent="0.3">
      <c r="A198" s="2" t="s">
        <v>227</v>
      </c>
      <c r="B198" s="2" t="s">
        <v>43</v>
      </c>
      <c r="C198" s="2" t="s">
        <v>228</v>
      </c>
      <c r="D198" s="2" t="s">
        <v>35</v>
      </c>
      <c r="E198" s="2" t="s">
        <v>71</v>
      </c>
      <c r="F198" s="2">
        <v>302</v>
      </c>
      <c r="G198" s="2">
        <v>47</v>
      </c>
      <c r="H198" s="2">
        <v>430</v>
      </c>
      <c r="I198" s="2">
        <v>5738</v>
      </c>
      <c r="J198" s="2">
        <v>4890</v>
      </c>
      <c r="K198" s="2">
        <v>25</v>
      </c>
      <c r="L198" s="2" t="s">
        <v>30</v>
      </c>
      <c r="M198" s="2" t="s">
        <v>38</v>
      </c>
      <c r="N198">
        <f t="shared" si="3"/>
        <v>779</v>
      </c>
      <c r="P198" s="8" t="s">
        <v>101</v>
      </c>
      <c r="Q198">
        <v>3009</v>
      </c>
      <c r="R198">
        <v>413</v>
      </c>
      <c r="S198">
        <v>358</v>
      </c>
      <c r="T198">
        <v>3780</v>
      </c>
      <c r="V198" t="s">
        <v>412</v>
      </c>
      <c r="W198">
        <v>3718</v>
      </c>
      <c r="X198">
        <v>385</v>
      </c>
      <c r="Y198">
        <v>310</v>
      </c>
      <c r="Z198">
        <v>4413</v>
      </c>
    </row>
    <row r="199" spans="1:26" ht="15.75" customHeight="1" x14ac:dyDescent="0.3">
      <c r="A199" s="2" t="s">
        <v>231</v>
      </c>
      <c r="B199" s="2" t="s">
        <v>33</v>
      </c>
      <c r="C199" s="2" t="s">
        <v>232</v>
      </c>
      <c r="D199" s="2" t="s">
        <v>52</v>
      </c>
      <c r="E199" s="2" t="s">
        <v>215</v>
      </c>
      <c r="F199" s="2">
        <v>3861</v>
      </c>
      <c r="G199" s="2">
        <v>960</v>
      </c>
      <c r="H199" s="2">
        <v>101</v>
      </c>
      <c r="I199" s="2">
        <v>69498</v>
      </c>
      <c r="J199" s="2">
        <v>68817</v>
      </c>
      <c r="K199" s="2">
        <v>297</v>
      </c>
      <c r="L199" s="2" t="s">
        <v>30</v>
      </c>
      <c r="M199" s="2" t="s">
        <v>38</v>
      </c>
      <c r="N199">
        <f t="shared" si="3"/>
        <v>4922</v>
      </c>
      <c r="P199" s="8" t="s">
        <v>291</v>
      </c>
      <c r="Q199">
        <v>8062</v>
      </c>
      <c r="R199">
        <v>2179</v>
      </c>
      <c r="S199">
        <v>687</v>
      </c>
      <c r="T199">
        <v>10928</v>
      </c>
      <c r="V199" t="s">
        <v>354</v>
      </c>
      <c r="W199">
        <v>4501</v>
      </c>
      <c r="X199">
        <v>375</v>
      </c>
      <c r="Y199">
        <v>323</v>
      </c>
      <c r="Z199">
        <v>5199</v>
      </c>
    </row>
    <row r="200" spans="1:26" ht="15.75" customHeight="1" x14ac:dyDescent="0.3">
      <c r="A200" s="2" t="s">
        <v>233</v>
      </c>
      <c r="B200" s="2" t="s">
        <v>43</v>
      </c>
      <c r="C200" s="2" t="s">
        <v>234</v>
      </c>
      <c r="D200" s="2" t="s">
        <v>52</v>
      </c>
      <c r="E200" s="2" t="s">
        <v>59</v>
      </c>
      <c r="F200" s="2">
        <v>1263</v>
      </c>
      <c r="G200" s="2">
        <v>397</v>
      </c>
      <c r="H200" s="2">
        <v>357</v>
      </c>
      <c r="I200" s="2">
        <v>25260</v>
      </c>
      <c r="J200" s="2">
        <v>24615</v>
      </c>
      <c r="K200" s="2">
        <v>137</v>
      </c>
      <c r="L200" s="2" t="s">
        <v>37</v>
      </c>
      <c r="M200" s="2" t="s">
        <v>38</v>
      </c>
      <c r="N200">
        <f t="shared" si="3"/>
        <v>2017</v>
      </c>
      <c r="P200" s="8" t="s">
        <v>412</v>
      </c>
      <c r="Q200">
        <v>3718</v>
      </c>
      <c r="R200">
        <v>385</v>
      </c>
      <c r="S200">
        <v>310</v>
      </c>
      <c r="T200">
        <v>4413</v>
      </c>
      <c r="V200" t="s">
        <v>99</v>
      </c>
      <c r="W200">
        <v>3128</v>
      </c>
      <c r="X200">
        <v>211</v>
      </c>
      <c r="Y200">
        <v>197</v>
      </c>
      <c r="Z200">
        <v>3536</v>
      </c>
    </row>
    <row r="201" spans="1:26" ht="15.75" customHeight="1" x14ac:dyDescent="0.3">
      <c r="A201" s="2" t="s">
        <v>239</v>
      </c>
      <c r="B201" s="2" t="s">
        <v>33</v>
      </c>
      <c r="C201" s="2" t="s">
        <v>240</v>
      </c>
      <c r="D201" s="2" t="s">
        <v>22</v>
      </c>
      <c r="E201" s="2" t="s">
        <v>113</v>
      </c>
      <c r="F201" s="2">
        <v>3182</v>
      </c>
      <c r="G201" s="2">
        <v>559</v>
      </c>
      <c r="H201" s="2">
        <v>160</v>
      </c>
      <c r="I201" s="2">
        <v>57276</v>
      </c>
      <c r="J201" s="2">
        <v>56890</v>
      </c>
      <c r="K201" s="2">
        <v>163</v>
      </c>
      <c r="L201" s="2" t="s">
        <v>62</v>
      </c>
      <c r="M201" s="2" t="s">
        <v>38</v>
      </c>
      <c r="N201">
        <f t="shared" si="3"/>
        <v>3901</v>
      </c>
      <c r="P201" s="8" t="s">
        <v>354</v>
      </c>
      <c r="Q201">
        <v>4501</v>
      </c>
      <c r="R201">
        <v>375</v>
      </c>
      <c r="S201">
        <v>323</v>
      </c>
      <c r="T201">
        <v>5199</v>
      </c>
      <c r="V201" t="s">
        <v>518</v>
      </c>
      <c r="W201">
        <v>4579</v>
      </c>
      <c r="X201">
        <v>125</v>
      </c>
      <c r="Y201">
        <v>300</v>
      </c>
      <c r="Z201">
        <v>5004</v>
      </c>
    </row>
    <row r="202" spans="1:26" ht="15.75" customHeight="1" x14ac:dyDescent="0.3">
      <c r="A202" s="2" t="s">
        <v>245</v>
      </c>
      <c r="B202" s="2" t="s">
        <v>14</v>
      </c>
      <c r="C202" s="2" t="s">
        <v>151</v>
      </c>
      <c r="D202" s="2" t="s">
        <v>35</v>
      </c>
      <c r="E202" s="2" t="s">
        <v>149</v>
      </c>
      <c r="F202" s="2">
        <v>1575</v>
      </c>
      <c r="G202" s="2">
        <v>771</v>
      </c>
      <c r="H202" s="2">
        <v>486</v>
      </c>
      <c r="I202" s="2">
        <v>25200</v>
      </c>
      <c r="J202" s="2">
        <v>24826</v>
      </c>
      <c r="K202" s="2">
        <v>17</v>
      </c>
      <c r="L202" s="2" t="s">
        <v>62</v>
      </c>
      <c r="M202" s="2" t="s">
        <v>38</v>
      </c>
      <c r="N202">
        <f t="shared" si="3"/>
        <v>2832</v>
      </c>
      <c r="P202" s="8" t="s">
        <v>99</v>
      </c>
      <c r="Q202">
        <v>3128</v>
      </c>
      <c r="R202">
        <v>211</v>
      </c>
      <c r="S202">
        <v>197</v>
      </c>
      <c r="T202">
        <v>3536</v>
      </c>
      <c r="V202" t="s">
        <v>170</v>
      </c>
      <c r="W202">
        <v>4236</v>
      </c>
      <c r="X202">
        <v>1236</v>
      </c>
      <c r="Y202">
        <v>346</v>
      </c>
      <c r="Z202">
        <v>5818</v>
      </c>
    </row>
    <row r="203" spans="1:26" ht="15.75" customHeight="1" x14ac:dyDescent="0.3">
      <c r="A203" s="2" t="s">
        <v>259</v>
      </c>
      <c r="B203" s="2" t="s">
        <v>33</v>
      </c>
      <c r="C203" s="2" t="s">
        <v>260</v>
      </c>
      <c r="D203" s="2" t="s">
        <v>52</v>
      </c>
      <c r="E203" s="2" t="s">
        <v>215</v>
      </c>
      <c r="F203" s="2">
        <v>4619</v>
      </c>
      <c r="G203" s="2">
        <v>821</v>
      </c>
      <c r="H203" s="2">
        <v>499</v>
      </c>
      <c r="I203" s="2">
        <v>69285</v>
      </c>
      <c r="J203" s="2">
        <v>69141</v>
      </c>
      <c r="K203" s="2">
        <v>298</v>
      </c>
      <c r="L203" s="2" t="s">
        <v>30</v>
      </c>
      <c r="M203" s="2" t="s">
        <v>38</v>
      </c>
      <c r="N203">
        <f t="shared" si="3"/>
        <v>5939</v>
      </c>
      <c r="P203" s="8" t="s">
        <v>518</v>
      </c>
      <c r="Q203">
        <v>4579</v>
      </c>
      <c r="R203">
        <v>125</v>
      </c>
      <c r="S203">
        <v>300</v>
      </c>
      <c r="T203">
        <v>5004</v>
      </c>
      <c r="V203" t="s">
        <v>548</v>
      </c>
      <c r="W203">
        <v>4780</v>
      </c>
      <c r="X203">
        <v>691</v>
      </c>
      <c r="Y203">
        <v>380</v>
      </c>
      <c r="Z203">
        <v>5851</v>
      </c>
    </row>
    <row r="204" spans="1:26" ht="15.75" customHeight="1" x14ac:dyDescent="0.3">
      <c r="A204" s="2" t="s">
        <v>277</v>
      </c>
      <c r="B204" s="2" t="s">
        <v>14</v>
      </c>
      <c r="C204" s="2" t="s">
        <v>278</v>
      </c>
      <c r="D204" s="2" t="s">
        <v>52</v>
      </c>
      <c r="E204" s="2" t="s">
        <v>132</v>
      </c>
      <c r="F204" s="2">
        <v>2493</v>
      </c>
      <c r="G204" s="2">
        <v>97</v>
      </c>
      <c r="H204" s="2">
        <v>44</v>
      </c>
      <c r="I204" s="2">
        <v>42381</v>
      </c>
      <c r="J204" s="2">
        <v>41991</v>
      </c>
      <c r="K204" s="2">
        <v>242</v>
      </c>
      <c r="L204" s="2" t="s">
        <v>95</v>
      </c>
      <c r="M204" s="2" t="s">
        <v>38</v>
      </c>
      <c r="N204">
        <f t="shared" si="3"/>
        <v>2634</v>
      </c>
      <c r="P204" s="8" t="s">
        <v>170</v>
      </c>
      <c r="Q204">
        <v>4236</v>
      </c>
      <c r="R204">
        <v>1236</v>
      </c>
      <c r="S204">
        <v>346</v>
      </c>
      <c r="T204">
        <v>5818</v>
      </c>
      <c r="V204" t="s">
        <v>123</v>
      </c>
      <c r="W204">
        <v>8695</v>
      </c>
      <c r="X204">
        <v>854</v>
      </c>
      <c r="Y204">
        <v>438</v>
      </c>
      <c r="Z204">
        <v>9987</v>
      </c>
    </row>
    <row r="205" spans="1:26" ht="15.75" customHeight="1" x14ac:dyDescent="0.3">
      <c r="A205" s="2" t="s">
        <v>281</v>
      </c>
      <c r="B205" s="2" t="s">
        <v>14</v>
      </c>
      <c r="C205" s="2" t="s">
        <v>282</v>
      </c>
      <c r="D205" s="2" t="s">
        <v>52</v>
      </c>
      <c r="E205" s="2" t="s">
        <v>132</v>
      </c>
      <c r="F205" s="2">
        <v>1606</v>
      </c>
      <c r="G205" s="2">
        <v>451</v>
      </c>
      <c r="H205" s="2">
        <v>405</v>
      </c>
      <c r="I205" s="2">
        <v>20878</v>
      </c>
      <c r="J205" s="2">
        <v>20190</v>
      </c>
      <c r="K205" s="2">
        <v>219</v>
      </c>
      <c r="L205" s="2" t="s">
        <v>37</v>
      </c>
      <c r="M205" s="2" t="s">
        <v>38</v>
      </c>
      <c r="N205">
        <f t="shared" si="3"/>
        <v>2462</v>
      </c>
      <c r="P205" s="8" t="s">
        <v>548</v>
      </c>
      <c r="Q205">
        <v>4780</v>
      </c>
      <c r="R205">
        <v>691</v>
      </c>
      <c r="S205">
        <v>380</v>
      </c>
      <c r="T205">
        <v>5851</v>
      </c>
      <c r="V205" t="s">
        <v>334</v>
      </c>
      <c r="W205">
        <v>4804</v>
      </c>
      <c r="X205">
        <v>550</v>
      </c>
      <c r="Y205">
        <v>270</v>
      </c>
      <c r="Z205">
        <v>5624</v>
      </c>
    </row>
    <row r="206" spans="1:26" ht="15.75" customHeight="1" x14ac:dyDescent="0.3">
      <c r="A206" s="2" t="s">
        <v>292</v>
      </c>
      <c r="B206" s="2" t="s">
        <v>14</v>
      </c>
      <c r="C206" s="2" t="s">
        <v>293</v>
      </c>
      <c r="D206" s="2" t="s">
        <v>45</v>
      </c>
      <c r="E206" s="2" t="s">
        <v>49</v>
      </c>
      <c r="F206" s="2">
        <v>3811</v>
      </c>
      <c r="G206" s="2">
        <v>866</v>
      </c>
      <c r="H206" s="2">
        <v>216</v>
      </c>
      <c r="I206" s="2">
        <v>34299</v>
      </c>
      <c r="J206" s="2">
        <v>34088</v>
      </c>
      <c r="K206" s="2">
        <v>233</v>
      </c>
      <c r="L206" s="2" t="s">
        <v>30</v>
      </c>
      <c r="M206" s="2" t="s">
        <v>38</v>
      </c>
      <c r="N206">
        <f t="shared" si="3"/>
        <v>4893</v>
      </c>
      <c r="P206" s="8" t="s">
        <v>123</v>
      </c>
      <c r="Q206">
        <v>8695</v>
      </c>
      <c r="R206">
        <v>854</v>
      </c>
      <c r="S206">
        <v>438</v>
      </c>
      <c r="T206">
        <v>9987</v>
      </c>
      <c r="V206" t="s">
        <v>305</v>
      </c>
      <c r="W206">
        <v>7551</v>
      </c>
      <c r="X206">
        <v>812</v>
      </c>
      <c r="Y206">
        <v>403</v>
      </c>
      <c r="Z206">
        <v>8766</v>
      </c>
    </row>
    <row r="207" spans="1:26" ht="15.75" customHeight="1" x14ac:dyDescent="0.3">
      <c r="A207" s="2" t="s">
        <v>298</v>
      </c>
      <c r="B207" s="2" t="s">
        <v>27</v>
      </c>
      <c r="C207" s="2" t="s">
        <v>299</v>
      </c>
      <c r="D207" s="2" t="s">
        <v>16</v>
      </c>
      <c r="E207" s="2" t="s">
        <v>29</v>
      </c>
      <c r="F207" s="2">
        <v>2936</v>
      </c>
      <c r="G207" s="2">
        <v>439</v>
      </c>
      <c r="H207" s="2">
        <v>44</v>
      </c>
      <c r="I207" s="2">
        <v>38168</v>
      </c>
      <c r="J207" s="2">
        <v>37571</v>
      </c>
      <c r="K207" s="2">
        <v>22</v>
      </c>
      <c r="L207" s="2" t="s">
        <v>37</v>
      </c>
      <c r="M207" s="2" t="s">
        <v>38</v>
      </c>
      <c r="N207">
        <f t="shared" si="3"/>
        <v>3419</v>
      </c>
      <c r="P207" s="8" t="s">
        <v>334</v>
      </c>
      <c r="Q207">
        <v>4804</v>
      </c>
      <c r="R207">
        <v>550</v>
      </c>
      <c r="S207">
        <v>270</v>
      </c>
      <c r="T207">
        <v>5624</v>
      </c>
      <c r="V207" t="s">
        <v>364</v>
      </c>
      <c r="W207">
        <v>5666</v>
      </c>
      <c r="X207">
        <v>1072</v>
      </c>
      <c r="Y207">
        <v>562</v>
      </c>
      <c r="Z207">
        <v>7300</v>
      </c>
    </row>
    <row r="208" spans="1:26" ht="15.75" customHeight="1" x14ac:dyDescent="0.3">
      <c r="A208" s="2" t="s">
        <v>302</v>
      </c>
      <c r="B208" s="2" t="s">
        <v>43</v>
      </c>
      <c r="C208" s="2" t="s">
        <v>303</v>
      </c>
      <c r="D208" s="2" t="s">
        <v>52</v>
      </c>
      <c r="E208" s="2" t="s">
        <v>59</v>
      </c>
      <c r="F208" s="2">
        <v>2072</v>
      </c>
      <c r="G208" s="2">
        <v>532</v>
      </c>
      <c r="H208" s="2">
        <v>71</v>
      </c>
      <c r="I208" s="2">
        <v>37296</v>
      </c>
      <c r="J208" s="2">
        <v>36467</v>
      </c>
      <c r="K208" s="2">
        <v>25</v>
      </c>
      <c r="L208" s="2" t="s">
        <v>30</v>
      </c>
      <c r="M208" s="2" t="s">
        <v>38</v>
      </c>
      <c r="N208">
        <f t="shared" si="3"/>
        <v>2675</v>
      </c>
      <c r="P208" s="8" t="s">
        <v>305</v>
      </c>
      <c r="Q208">
        <v>7551</v>
      </c>
      <c r="R208">
        <v>812</v>
      </c>
      <c r="S208">
        <v>403</v>
      </c>
      <c r="T208">
        <v>8766</v>
      </c>
      <c r="V208" t="s">
        <v>460</v>
      </c>
      <c r="W208">
        <v>249</v>
      </c>
      <c r="X208">
        <v>592</v>
      </c>
      <c r="Y208">
        <v>230</v>
      </c>
      <c r="Z208">
        <v>1071</v>
      </c>
    </row>
    <row r="209" spans="1:26" ht="15.75" customHeight="1" x14ac:dyDescent="0.3">
      <c r="A209" s="2" t="s">
        <v>306</v>
      </c>
      <c r="B209" s="2" t="s">
        <v>43</v>
      </c>
      <c r="C209" s="2" t="s">
        <v>307</v>
      </c>
      <c r="D209" s="2" t="s">
        <v>22</v>
      </c>
      <c r="E209" s="2" t="s">
        <v>56</v>
      </c>
      <c r="F209" s="2">
        <v>4213</v>
      </c>
      <c r="G209" s="2">
        <v>253</v>
      </c>
      <c r="H209" s="2">
        <v>434</v>
      </c>
      <c r="I209" s="2">
        <v>75834</v>
      </c>
      <c r="J209" s="2">
        <v>75437</v>
      </c>
      <c r="K209" s="2">
        <v>272</v>
      </c>
      <c r="L209" s="2" t="s">
        <v>62</v>
      </c>
      <c r="M209" s="2" t="s">
        <v>38</v>
      </c>
      <c r="N209">
        <f t="shared" si="3"/>
        <v>4900</v>
      </c>
      <c r="P209" s="8" t="s">
        <v>364</v>
      </c>
      <c r="Q209">
        <v>5666</v>
      </c>
      <c r="R209">
        <v>1072</v>
      </c>
      <c r="S209">
        <v>562</v>
      </c>
      <c r="T209">
        <v>7300</v>
      </c>
      <c r="V209" t="s">
        <v>433</v>
      </c>
      <c r="W209">
        <v>4126</v>
      </c>
      <c r="X209">
        <v>1004</v>
      </c>
      <c r="Y209">
        <v>476</v>
      </c>
      <c r="Z209">
        <v>5606</v>
      </c>
    </row>
    <row r="210" spans="1:26" ht="15.75" customHeight="1" x14ac:dyDescent="0.3">
      <c r="A210" s="2" t="s">
        <v>308</v>
      </c>
      <c r="B210" s="2" t="s">
        <v>33</v>
      </c>
      <c r="C210" s="2" t="s">
        <v>309</v>
      </c>
      <c r="D210" s="2" t="s">
        <v>22</v>
      </c>
      <c r="E210" s="2" t="s">
        <v>113</v>
      </c>
      <c r="F210" s="2">
        <v>3134</v>
      </c>
      <c r="G210" s="2">
        <v>888</v>
      </c>
      <c r="H210" s="2">
        <v>444</v>
      </c>
      <c r="I210" s="2">
        <v>21938</v>
      </c>
      <c r="J210" s="2">
        <v>21337</v>
      </c>
      <c r="K210" s="2">
        <v>130</v>
      </c>
      <c r="L210" s="2" t="s">
        <v>37</v>
      </c>
      <c r="M210" s="2" t="s">
        <v>38</v>
      </c>
      <c r="N210">
        <f t="shared" si="3"/>
        <v>4466</v>
      </c>
      <c r="P210" s="8" t="s">
        <v>460</v>
      </c>
      <c r="Q210">
        <v>249</v>
      </c>
      <c r="R210">
        <v>592</v>
      </c>
      <c r="S210">
        <v>230</v>
      </c>
      <c r="T210">
        <v>1071</v>
      </c>
      <c r="V210" t="s">
        <v>144</v>
      </c>
      <c r="W210">
        <v>1108</v>
      </c>
      <c r="X210">
        <v>177</v>
      </c>
      <c r="Y210">
        <v>212</v>
      </c>
      <c r="Z210">
        <v>1497</v>
      </c>
    </row>
    <row r="211" spans="1:26" ht="15.75" customHeight="1" x14ac:dyDescent="0.3">
      <c r="A211" s="2" t="s">
        <v>319</v>
      </c>
      <c r="B211" s="2" t="s">
        <v>27</v>
      </c>
      <c r="C211" s="2" t="s">
        <v>264</v>
      </c>
      <c r="D211" s="2" t="s">
        <v>35</v>
      </c>
      <c r="E211" s="2" t="s">
        <v>154</v>
      </c>
      <c r="F211" s="2">
        <v>2070</v>
      </c>
      <c r="G211" s="2">
        <v>275</v>
      </c>
      <c r="H211" s="2">
        <v>386</v>
      </c>
      <c r="I211" s="2">
        <v>39330</v>
      </c>
      <c r="J211" s="2">
        <v>38627</v>
      </c>
      <c r="K211" s="2">
        <v>114</v>
      </c>
      <c r="L211" s="2" t="s">
        <v>62</v>
      </c>
      <c r="M211" s="2" t="s">
        <v>38</v>
      </c>
      <c r="N211">
        <f t="shared" si="3"/>
        <v>2731</v>
      </c>
      <c r="P211" s="8" t="s">
        <v>433</v>
      </c>
      <c r="Q211">
        <v>4126</v>
      </c>
      <c r="R211">
        <v>1004</v>
      </c>
      <c r="S211">
        <v>476</v>
      </c>
      <c r="T211">
        <v>5606</v>
      </c>
      <c r="V211" t="s">
        <v>79</v>
      </c>
      <c r="W211">
        <v>4441</v>
      </c>
      <c r="X211">
        <v>511</v>
      </c>
      <c r="Y211">
        <v>70</v>
      </c>
      <c r="Z211">
        <v>5022</v>
      </c>
    </row>
    <row r="212" spans="1:26" ht="15.75" customHeight="1" x14ac:dyDescent="0.3">
      <c r="A212" s="2" t="s">
        <v>321</v>
      </c>
      <c r="B212" s="2" t="s">
        <v>27</v>
      </c>
      <c r="C212" s="2" t="s">
        <v>201</v>
      </c>
      <c r="D212" s="2" t="s">
        <v>35</v>
      </c>
      <c r="E212" s="2" t="s">
        <v>154</v>
      </c>
      <c r="F212" s="2">
        <v>4929</v>
      </c>
      <c r="G212" s="2">
        <v>749</v>
      </c>
      <c r="H212" s="2">
        <v>452</v>
      </c>
      <c r="I212" s="2">
        <v>93651</v>
      </c>
      <c r="J212" s="2">
        <v>92810</v>
      </c>
      <c r="K212" s="2">
        <v>66</v>
      </c>
      <c r="L212" s="2" t="s">
        <v>37</v>
      </c>
      <c r="M212" s="2" t="s">
        <v>38</v>
      </c>
      <c r="N212">
        <f t="shared" si="3"/>
        <v>6130</v>
      </c>
      <c r="P212" s="8" t="s">
        <v>144</v>
      </c>
      <c r="Q212">
        <v>1108</v>
      </c>
      <c r="R212">
        <v>177</v>
      </c>
      <c r="S212">
        <v>212</v>
      </c>
      <c r="T212">
        <v>1497</v>
      </c>
      <c r="V212" t="s">
        <v>436</v>
      </c>
      <c r="W212">
        <v>6824</v>
      </c>
      <c r="X212">
        <v>1269</v>
      </c>
      <c r="Y212">
        <v>463</v>
      </c>
      <c r="Z212">
        <v>8556</v>
      </c>
    </row>
    <row r="213" spans="1:26" ht="15.75" customHeight="1" x14ac:dyDescent="0.3">
      <c r="A213" s="2" t="s">
        <v>322</v>
      </c>
      <c r="B213" s="2" t="s">
        <v>33</v>
      </c>
      <c r="C213" s="2" t="s">
        <v>34</v>
      </c>
      <c r="D213" s="2" t="s">
        <v>45</v>
      </c>
      <c r="E213" s="2" t="s">
        <v>88</v>
      </c>
      <c r="F213" s="2">
        <v>1878</v>
      </c>
      <c r="G213" s="2">
        <v>62</v>
      </c>
      <c r="H213" s="2">
        <v>179</v>
      </c>
      <c r="I213" s="2">
        <v>37560</v>
      </c>
      <c r="J213" s="2">
        <v>36874</v>
      </c>
      <c r="K213" s="2">
        <v>142</v>
      </c>
      <c r="L213" s="2" t="s">
        <v>30</v>
      </c>
      <c r="M213" s="2" t="s">
        <v>38</v>
      </c>
      <c r="N213">
        <f t="shared" si="3"/>
        <v>2119</v>
      </c>
      <c r="P213" s="8" t="s">
        <v>79</v>
      </c>
      <c r="Q213">
        <v>4441</v>
      </c>
      <c r="R213">
        <v>511</v>
      </c>
      <c r="S213">
        <v>70</v>
      </c>
      <c r="T213">
        <v>5022</v>
      </c>
      <c r="V213" t="s">
        <v>541</v>
      </c>
      <c r="W213">
        <v>3367</v>
      </c>
      <c r="X213">
        <v>302</v>
      </c>
      <c r="Y213">
        <v>57</v>
      </c>
      <c r="Z213">
        <v>3726</v>
      </c>
    </row>
    <row r="214" spans="1:26" ht="15.75" customHeight="1" x14ac:dyDescent="0.3">
      <c r="A214" s="2" t="s">
        <v>327</v>
      </c>
      <c r="B214" s="2" t="s">
        <v>33</v>
      </c>
      <c r="C214" s="2" t="s">
        <v>170</v>
      </c>
      <c r="D214" s="2" t="s">
        <v>74</v>
      </c>
      <c r="E214" s="2" t="s">
        <v>85</v>
      </c>
      <c r="F214" s="2">
        <v>4133</v>
      </c>
      <c r="G214" s="2">
        <v>466</v>
      </c>
      <c r="H214" s="2">
        <v>327</v>
      </c>
      <c r="I214" s="2">
        <v>24798</v>
      </c>
      <c r="J214" s="2">
        <v>24620</v>
      </c>
      <c r="K214" s="2">
        <v>176</v>
      </c>
      <c r="L214" s="2" t="s">
        <v>37</v>
      </c>
      <c r="M214" s="2" t="s">
        <v>38</v>
      </c>
      <c r="N214">
        <f t="shared" si="3"/>
        <v>4926</v>
      </c>
      <c r="P214" s="8" t="s">
        <v>436</v>
      </c>
      <c r="Q214">
        <v>6824</v>
      </c>
      <c r="R214">
        <v>1269</v>
      </c>
      <c r="S214">
        <v>463</v>
      </c>
      <c r="T214">
        <v>8556</v>
      </c>
      <c r="V214" t="s">
        <v>278</v>
      </c>
      <c r="W214">
        <v>2493</v>
      </c>
      <c r="X214">
        <v>97</v>
      </c>
      <c r="Y214">
        <v>44</v>
      </c>
      <c r="Z214">
        <v>2634</v>
      </c>
    </row>
    <row r="215" spans="1:26" ht="15.75" customHeight="1" x14ac:dyDescent="0.3">
      <c r="A215" s="2" t="s">
        <v>330</v>
      </c>
      <c r="B215" s="2" t="s">
        <v>27</v>
      </c>
      <c r="C215" s="2" t="s">
        <v>331</v>
      </c>
      <c r="D215" s="2" t="s">
        <v>45</v>
      </c>
      <c r="E215" s="2" t="s">
        <v>68</v>
      </c>
      <c r="F215" s="2">
        <v>4295</v>
      </c>
      <c r="G215" s="2">
        <v>853</v>
      </c>
      <c r="H215" s="2">
        <v>325</v>
      </c>
      <c r="I215" s="2">
        <v>85900</v>
      </c>
      <c r="J215" s="2">
        <v>85788</v>
      </c>
      <c r="K215" s="2">
        <v>290</v>
      </c>
      <c r="L215" s="2" t="s">
        <v>30</v>
      </c>
      <c r="M215" s="2" t="s">
        <v>38</v>
      </c>
      <c r="N215">
        <f t="shared" si="3"/>
        <v>5473</v>
      </c>
      <c r="P215" s="8" t="s">
        <v>541</v>
      </c>
      <c r="Q215">
        <v>3367</v>
      </c>
      <c r="R215">
        <v>302</v>
      </c>
      <c r="S215">
        <v>57</v>
      </c>
      <c r="T215">
        <v>3726</v>
      </c>
      <c r="V215" t="s">
        <v>28</v>
      </c>
      <c r="W215">
        <v>2795</v>
      </c>
      <c r="X215">
        <v>105</v>
      </c>
      <c r="Y215">
        <v>49</v>
      </c>
      <c r="Z215">
        <v>2949</v>
      </c>
    </row>
    <row r="216" spans="1:26" ht="15.75" customHeight="1" x14ac:dyDescent="0.3">
      <c r="A216" s="2" t="s">
        <v>333</v>
      </c>
      <c r="B216" s="2" t="s">
        <v>43</v>
      </c>
      <c r="C216" s="2" t="s">
        <v>334</v>
      </c>
      <c r="D216" s="2" t="s">
        <v>52</v>
      </c>
      <c r="E216" s="2" t="s">
        <v>59</v>
      </c>
      <c r="F216" s="2">
        <v>4804</v>
      </c>
      <c r="G216" s="2">
        <v>550</v>
      </c>
      <c r="H216" s="2">
        <v>270</v>
      </c>
      <c r="I216" s="2">
        <v>28824</v>
      </c>
      <c r="J216" s="2">
        <v>28370</v>
      </c>
      <c r="K216" s="2">
        <v>47</v>
      </c>
      <c r="L216" s="2" t="s">
        <v>37</v>
      </c>
      <c r="M216" s="2" t="s">
        <v>38</v>
      </c>
      <c r="N216">
        <f t="shared" si="3"/>
        <v>5624</v>
      </c>
      <c r="P216" s="8" t="s">
        <v>278</v>
      </c>
      <c r="Q216">
        <v>2493</v>
      </c>
      <c r="R216">
        <v>97</v>
      </c>
      <c r="S216">
        <v>44</v>
      </c>
      <c r="T216">
        <v>2634</v>
      </c>
      <c r="V216" t="s">
        <v>448</v>
      </c>
      <c r="W216">
        <v>602</v>
      </c>
      <c r="X216">
        <v>594</v>
      </c>
      <c r="Y216">
        <v>156</v>
      </c>
      <c r="Z216">
        <v>1352</v>
      </c>
    </row>
    <row r="217" spans="1:26" ht="15.75" customHeight="1" x14ac:dyDescent="0.3">
      <c r="A217" s="2" t="s">
        <v>337</v>
      </c>
      <c r="B217" s="2" t="s">
        <v>33</v>
      </c>
      <c r="C217" s="2" t="s">
        <v>209</v>
      </c>
      <c r="D217" s="2" t="s">
        <v>45</v>
      </c>
      <c r="E217" s="2" t="s">
        <v>88</v>
      </c>
      <c r="F217" s="2">
        <v>985</v>
      </c>
      <c r="G217" s="2">
        <v>932</v>
      </c>
      <c r="H217" s="2">
        <v>287</v>
      </c>
      <c r="I217" s="2">
        <v>6895</v>
      </c>
      <c r="J217" s="2">
        <v>6757</v>
      </c>
      <c r="K217" s="2">
        <v>64</v>
      </c>
      <c r="L217" s="2" t="s">
        <v>62</v>
      </c>
      <c r="M217" s="2" t="s">
        <v>38</v>
      </c>
      <c r="N217">
        <f t="shared" si="3"/>
        <v>2204</v>
      </c>
      <c r="P217" s="8" t="s">
        <v>28</v>
      </c>
      <c r="Q217">
        <v>2795</v>
      </c>
      <c r="R217">
        <v>105</v>
      </c>
      <c r="S217">
        <v>49</v>
      </c>
      <c r="T217">
        <v>2949</v>
      </c>
      <c r="V217" t="s">
        <v>556</v>
      </c>
      <c r="W217">
        <v>2634</v>
      </c>
      <c r="X217">
        <v>726</v>
      </c>
      <c r="Y217">
        <v>241</v>
      </c>
      <c r="Z217">
        <v>3601</v>
      </c>
    </row>
    <row r="218" spans="1:26" ht="15.75" customHeight="1" x14ac:dyDescent="0.3">
      <c r="A218" s="2" t="s">
        <v>349</v>
      </c>
      <c r="B218" s="2" t="s">
        <v>14</v>
      </c>
      <c r="C218" s="2" t="s">
        <v>350</v>
      </c>
      <c r="D218" s="2" t="s">
        <v>22</v>
      </c>
      <c r="E218" s="2" t="s">
        <v>23</v>
      </c>
      <c r="F218" s="2">
        <v>4671</v>
      </c>
      <c r="G218" s="2">
        <v>876</v>
      </c>
      <c r="H218" s="2">
        <v>366</v>
      </c>
      <c r="I218" s="2">
        <v>51381</v>
      </c>
      <c r="J218" s="2">
        <v>50565</v>
      </c>
      <c r="K218" s="2">
        <v>245</v>
      </c>
      <c r="L218" s="2" t="s">
        <v>30</v>
      </c>
      <c r="M218" s="2" t="s">
        <v>38</v>
      </c>
      <c r="N218">
        <f t="shared" si="3"/>
        <v>5913</v>
      </c>
      <c r="P218" s="8" t="s">
        <v>448</v>
      </c>
      <c r="Q218">
        <v>602</v>
      </c>
      <c r="R218">
        <v>594</v>
      </c>
      <c r="S218">
        <v>156</v>
      </c>
      <c r="T218">
        <v>1352</v>
      </c>
    </row>
    <row r="219" spans="1:26" ht="15.75" customHeight="1" x14ac:dyDescent="0.3">
      <c r="A219" s="2" t="s">
        <v>355</v>
      </c>
      <c r="B219" s="2" t="s">
        <v>27</v>
      </c>
      <c r="C219" s="2" t="s">
        <v>92</v>
      </c>
      <c r="D219" s="2" t="s">
        <v>22</v>
      </c>
      <c r="E219" s="2" t="s">
        <v>104</v>
      </c>
      <c r="F219" s="2">
        <v>4934</v>
      </c>
      <c r="G219" s="2">
        <v>971</v>
      </c>
      <c r="H219" s="2">
        <v>156</v>
      </c>
      <c r="I219" s="2">
        <v>39472</v>
      </c>
      <c r="J219" s="2">
        <v>39025</v>
      </c>
      <c r="K219" s="2">
        <v>169</v>
      </c>
      <c r="L219" s="2" t="s">
        <v>95</v>
      </c>
      <c r="M219" s="2" t="s">
        <v>38</v>
      </c>
      <c r="N219">
        <f t="shared" si="3"/>
        <v>6061</v>
      </c>
      <c r="P219" s="8" t="s">
        <v>556</v>
      </c>
      <c r="Q219">
        <v>2634</v>
      </c>
      <c r="R219">
        <v>726</v>
      </c>
      <c r="S219">
        <v>241</v>
      </c>
      <c r="T219">
        <v>3601</v>
      </c>
    </row>
    <row r="220" spans="1:26" ht="15.75" customHeight="1" x14ac:dyDescent="0.3">
      <c r="A220" s="2" t="s">
        <v>372</v>
      </c>
      <c r="B220" s="2" t="s">
        <v>33</v>
      </c>
      <c r="C220" s="2" t="s">
        <v>373</v>
      </c>
      <c r="D220" s="2" t="s">
        <v>16</v>
      </c>
      <c r="E220" s="2" t="s">
        <v>82</v>
      </c>
      <c r="F220" s="2">
        <v>142</v>
      </c>
      <c r="G220" s="2">
        <v>784</v>
      </c>
      <c r="H220" s="2">
        <v>183</v>
      </c>
      <c r="I220" s="2">
        <v>1704</v>
      </c>
      <c r="J220" s="2">
        <v>995</v>
      </c>
      <c r="K220" s="2">
        <v>154</v>
      </c>
      <c r="L220" s="2" t="s">
        <v>62</v>
      </c>
      <c r="M220" s="2" t="s">
        <v>38</v>
      </c>
      <c r="N220">
        <f t="shared" si="3"/>
        <v>1109</v>
      </c>
      <c r="P220" s="7" t="s">
        <v>613</v>
      </c>
      <c r="Q220">
        <v>819991</v>
      </c>
      <c r="R220">
        <v>142925</v>
      </c>
      <c r="S220">
        <v>74851</v>
      </c>
      <c r="T220">
        <v>1037767</v>
      </c>
    </row>
    <row r="221" spans="1:26" ht="15.75" customHeight="1" x14ac:dyDescent="0.3">
      <c r="A221" s="2" t="s">
        <v>378</v>
      </c>
      <c r="B221" s="2" t="s">
        <v>33</v>
      </c>
      <c r="C221" s="2" t="s">
        <v>205</v>
      </c>
      <c r="D221" s="2" t="s">
        <v>74</v>
      </c>
      <c r="E221" s="2" t="s">
        <v>85</v>
      </c>
      <c r="F221" s="2">
        <v>129</v>
      </c>
      <c r="G221" s="2">
        <v>643</v>
      </c>
      <c r="H221" s="2">
        <v>136</v>
      </c>
      <c r="I221" s="2">
        <v>1290</v>
      </c>
      <c r="J221" s="2">
        <v>839</v>
      </c>
      <c r="K221" s="2">
        <v>238</v>
      </c>
      <c r="L221" s="2" t="s">
        <v>30</v>
      </c>
      <c r="M221" s="2" t="s">
        <v>38</v>
      </c>
      <c r="N221">
        <f t="shared" si="3"/>
        <v>908</v>
      </c>
    </row>
    <row r="222" spans="1:26" ht="15.75" customHeight="1" x14ac:dyDescent="0.3">
      <c r="A222" s="2" t="s">
        <v>383</v>
      </c>
      <c r="B222" s="2" t="s">
        <v>43</v>
      </c>
      <c r="C222" s="2" t="s">
        <v>115</v>
      </c>
      <c r="D222" s="2" t="s">
        <v>52</v>
      </c>
      <c r="E222" s="2" t="s">
        <v>59</v>
      </c>
      <c r="F222" s="2">
        <v>4689</v>
      </c>
      <c r="G222" s="2">
        <v>134</v>
      </c>
      <c r="H222" s="2">
        <v>403</v>
      </c>
      <c r="I222" s="2">
        <v>51579</v>
      </c>
      <c r="J222" s="2">
        <v>50924</v>
      </c>
      <c r="K222" s="2">
        <v>173</v>
      </c>
      <c r="L222" s="2" t="s">
        <v>30</v>
      </c>
      <c r="M222" s="2" t="s">
        <v>38</v>
      </c>
      <c r="N222">
        <f t="shared" si="3"/>
        <v>5226</v>
      </c>
    </row>
    <row r="223" spans="1:26" ht="15.75" customHeight="1" x14ac:dyDescent="0.3">
      <c r="A223" s="2" t="s">
        <v>403</v>
      </c>
      <c r="B223" s="2" t="s">
        <v>33</v>
      </c>
      <c r="C223" s="2" t="s">
        <v>404</v>
      </c>
      <c r="D223" s="2" t="s">
        <v>45</v>
      </c>
      <c r="E223" s="2" t="s">
        <v>88</v>
      </c>
      <c r="F223" s="2">
        <v>914</v>
      </c>
      <c r="G223" s="2">
        <v>464</v>
      </c>
      <c r="H223" s="2">
        <v>246</v>
      </c>
      <c r="I223" s="2">
        <v>11882</v>
      </c>
      <c r="J223" s="2">
        <v>11500</v>
      </c>
      <c r="K223" s="2">
        <v>282</v>
      </c>
      <c r="L223" s="2" t="s">
        <v>216</v>
      </c>
      <c r="M223" s="2" t="s">
        <v>38</v>
      </c>
      <c r="N223">
        <f t="shared" si="3"/>
        <v>1624</v>
      </c>
    </row>
    <row r="224" spans="1:26" ht="15.75" customHeight="1" x14ac:dyDescent="0.3">
      <c r="A224" s="2" t="s">
        <v>420</v>
      </c>
      <c r="B224" s="2" t="s">
        <v>14</v>
      </c>
      <c r="C224" s="2" t="s">
        <v>305</v>
      </c>
      <c r="D224" s="2" t="s">
        <v>74</v>
      </c>
      <c r="E224" s="2" t="s">
        <v>145</v>
      </c>
      <c r="F224" s="2">
        <v>3820</v>
      </c>
      <c r="G224" s="2">
        <v>697</v>
      </c>
      <c r="H224" s="2">
        <v>268</v>
      </c>
      <c r="I224" s="2">
        <v>45840</v>
      </c>
      <c r="J224" s="2">
        <v>45631</v>
      </c>
      <c r="K224" s="2">
        <v>171</v>
      </c>
      <c r="L224" s="2" t="s">
        <v>421</v>
      </c>
      <c r="M224" s="2" t="s">
        <v>38</v>
      </c>
      <c r="N224">
        <f t="shared" si="3"/>
        <v>4785</v>
      </c>
    </row>
    <row r="225" spans="1:14" ht="15.75" customHeight="1" x14ac:dyDescent="0.3">
      <c r="A225" s="2" t="s">
        <v>426</v>
      </c>
      <c r="B225" s="2" t="s">
        <v>14</v>
      </c>
      <c r="C225" s="2" t="s">
        <v>427</v>
      </c>
      <c r="D225" s="2" t="s">
        <v>74</v>
      </c>
      <c r="E225" s="2" t="s">
        <v>145</v>
      </c>
      <c r="F225" s="2">
        <v>3160</v>
      </c>
      <c r="G225" s="2">
        <v>204</v>
      </c>
      <c r="H225" s="2">
        <v>297</v>
      </c>
      <c r="I225" s="2">
        <v>44240</v>
      </c>
      <c r="J225" s="2">
        <v>43666</v>
      </c>
      <c r="K225" s="2">
        <v>49</v>
      </c>
      <c r="L225" s="2" t="s">
        <v>18</v>
      </c>
      <c r="M225" s="2" t="s">
        <v>38</v>
      </c>
      <c r="N225">
        <f t="shared" si="3"/>
        <v>3661</v>
      </c>
    </row>
    <row r="226" spans="1:14" ht="15.75" customHeight="1" x14ac:dyDescent="0.3">
      <c r="A226" s="2" t="s">
        <v>429</v>
      </c>
      <c r="B226" s="2" t="s">
        <v>14</v>
      </c>
      <c r="C226" s="2" t="s">
        <v>430</v>
      </c>
      <c r="D226" s="2" t="s">
        <v>45</v>
      </c>
      <c r="E226" s="2" t="s">
        <v>49</v>
      </c>
      <c r="F226" s="2">
        <v>2120</v>
      </c>
      <c r="G226" s="2">
        <v>38</v>
      </c>
      <c r="H226" s="2">
        <v>212</v>
      </c>
      <c r="I226" s="2">
        <v>12720</v>
      </c>
      <c r="J226" s="2">
        <v>12564</v>
      </c>
      <c r="K226" s="2">
        <v>21</v>
      </c>
      <c r="L226" s="2" t="s">
        <v>62</v>
      </c>
      <c r="M226" s="2" t="s">
        <v>38</v>
      </c>
      <c r="N226">
        <f t="shared" si="3"/>
        <v>2370</v>
      </c>
    </row>
    <row r="227" spans="1:14" ht="15.75" customHeight="1" x14ac:dyDescent="0.3">
      <c r="A227" s="2" t="s">
        <v>432</v>
      </c>
      <c r="B227" s="2" t="s">
        <v>43</v>
      </c>
      <c r="C227" s="2" t="s">
        <v>433</v>
      </c>
      <c r="D227" s="2" t="s">
        <v>45</v>
      </c>
      <c r="E227" s="2" t="s">
        <v>46</v>
      </c>
      <c r="F227" s="2">
        <v>2696</v>
      </c>
      <c r="G227" s="2">
        <v>628</v>
      </c>
      <c r="H227" s="2">
        <v>443</v>
      </c>
      <c r="I227" s="2">
        <v>45832</v>
      </c>
      <c r="J227" s="2">
        <v>45632</v>
      </c>
      <c r="K227" s="2">
        <v>248</v>
      </c>
      <c r="L227" s="2" t="s">
        <v>37</v>
      </c>
      <c r="M227" s="2" t="s">
        <v>38</v>
      </c>
      <c r="N227">
        <f t="shared" si="3"/>
        <v>3767</v>
      </c>
    </row>
    <row r="228" spans="1:14" ht="15.75" customHeight="1" x14ac:dyDescent="0.3">
      <c r="A228" s="2" t="s">
        <v>439</v>
      </c>
      <c r="B228" s="2" t="s">
        <v>43</v>
      </c>
      <c r="C228" s="2" t="s">
        <v>254</v>
      </c>
      <c r="D228" s="2" t="s">
        <v>45</v>
      </c>
      <c r="E228" s="2" t="s">
        <v>46</v>
      </c>
      <c r="F228" s="2">
        <v>1869</v>
      </c>
      <c r="G228" s="2">
        <v>453</v>
      </c>
      <c r="H228" s="2">
        <v>490</v>
      </c>
      <c r="I228" s="2">
        <v>14952</v>
      </c>
      <c r="J228" s="2">
        <v>14309</v>
      </c>
      <c r="K228" s="2">
        <v>275</v>
      </c>
      <c r="L228" s="2" t="s">
        <v>30</v>
      </c>
      <c r="M228" s="2" t="s">
        <v>38</v>
      </c>
      <c r="N228">
        <f t="shared" si="3"/>
        <v>2812</v>
      </c>
    </row>
    <row r="229" spans="1:14" ht="15.75" customHeight="1" x14ac:dyDescent="0.3">
      <c r="A229" s="2" t="s">
        <v>440</v>
      </c>
      <c r="B229" s="2" t="s">
        <v>14</v>
      </c>
      <c r="C229" s="2" t="s">
        <v>174</v>
      </c>
      <c r="D229" s="2" t="s">
        <v>16</v>
      </c>
      <c r="E229" s="2" t="s">
        <v>17</v>
      </c>
      <c r="F229" s="2">
        <v>1188</v>
      </c>
      <c r="G229" s="2">
        <v>470</v>
      </c>
      <c r="H229" s="2">
        <v>174</v>
      </c>
      <c r="I229" s="2">
        <v>7128</v>
      </c>
      <c r="J229" s="2">
        <v>6145</v>
      </c>
      <c r="K229" s="2">
        <v>270</v>
      </c>
      <c r="L229" s="2" t="s">
        <v>30</v>
      </c>
      <c r="M229" s="2" t="s">
        <v>38</v>
      </c>
      <c r="N229">
        <f t="shared" si="3"/>
        <v>1832</v>
      </c>
    </row>
    <row r="230" spans="1:14" ht="15.75" customHeight="1" x14ac:dyDescent="0.3">
      <c r="A230" s="2" t="s">
        <v>459</v>
      </c>
      <c r="B230" s="2" t="s">
        <v>14</v>
      </c>
      <c r="C230" s="2" t="s">
        <v>460</v>
      </c>
      <c r="D230" s="2" t="s">
        <v>35</v>
      </c>
      <c r="E230" s="2" t="s">
        <v>149</v>
      </c>
      <c r="F230" s="2">
        <v>249</v>
      </c>
      <c r="G230" s="2">
        <v>592</v>
      </c>
      <c r="H230" s="2">
        <v>230</v>
      </c>
      <c r="I230" s="2">
        <v>1494</v>
      </c>
      <c r="J230" s="2">
        <v>1044</v>
      </c>
      <c r="K230" s="2">
        <v>201</v>
      </c>
      <c r="L230" s="2" t="s">
        <v>37</v>
      </c>
      <c r="M230" s="2" t="s">
        <v>38</v>
      </c>
      <c r="N230">
        <f t="shared" si="3"/>
        <v>1071</v>
      </c>
    </row>
    <row r="231" spans="1:14" ht="15.75" customHeight="1" x14ac:dyDescent="0.3">
      <c r="A231" s="2" t="s">
        <v>461</v>
      </c>
      <c r="B231" s="2" t="s">
        <v>43</v>
      </c>
      <c r="C231" s="2" t="s">
        <v>134</v>
      </c>
      <c r="D231" s="2" t="s">
        <v>52</v>
      </c>
      <c r="E231" s="2" t="s">
        <v>59</v>
      </c>
      <c r="F231" s="2">
        <v>2382</v>
      </c>
      <c r="G231" s="2">
        <v>265</v>
      </c>
      <c r="H231" s="2">
        <v>134</v>
      </c>
      <c r="I231" s="2">
        <v>38112</v>
      </c>
      <c r="J231" s="2">
        <v>37437</v>
      </c>
      <c r="K231" s="2">
        <v>249</v>
      </c>
      <c r="L231" s="2" t="s">
        <v>62</v>
      </c>
      <c r="M231" s="2" t="s">
        <v>38</v>
      </c>
      <c r="N231">
        <f t="shared" si="3"/>
        <v>2781</v>
      </c>
    </row>
    <row r="232" spans="1:14" ht="15.75" customHeight="1" x14ac:dyDescent="0.3">
      <c r="A232" s="2" t="s">
        <v>468</v>
      </c>
      <c r="B232" s="2" t="s">
        <v>14</v>
      </c>
      <c r="C232" s="2" t="s">
        <v>469</v>
      </c>
      <c r="D232" s="2" t="s">
        <v>22</v>
      </c>
      <c r="E232" s="2" t="s">
        <v>23</v>
      </c>
      <c r="F232" s="2">
        <v>4725</v>
      </c>
      <c r="G232" s="2">
        <v>400</v>
      </c>
      <c r="H232" s="2">
        <v>362</v>
      </c>
      <c r="I232" s="2">
        <v>75600</v>
      </c>
      <c r="J232" s="2">
        <v>74927</v>
      </c>
      <c r="K232" s="2">
        <v>43</v>
      </c>
      <c r="L232" s="2" t="s">
        <v>62</v>
      </c>
      <c r="M232" s="2" t="s">
        <v>38</v>
      </c>
      <c r="N232">
        <f t="shared" si="3"/>
        <v>5487</v>
      </c>
    </row>
    <row r="233" spans="1:14" ht="15.75" customHeight="1" x14ac:dyDescent="0.3">
      <c r="A233" s="2" t="s">
        <v>472</v>
      </c>
      <c r="B233" s="2" t="s">
        <v>43</v>
      </c>
      <c r="C233" s="2" t="s">
        <v>473</v>
      </c>
      <c r="D233" s="2" t="s">
        <v>35</v>
      </c>
      <c r="E233" s="2" t="s">
        <v>71</v>
      </c>
      <c r="F233" s="2">
        <v>4321</v>
      </c>
      <c r="G233" s="2">
        <v>874</v>
      </c>
      <c r="H233" s="2">
        <v>172</v>
      </c>
      <c r="I233" s="2">
        <v>30247</v>
      </c>
      <c r="J233" s="2">
        <v>29254</v>
      </c>
      <c r="K233" s="2">
        <v>122</v>
      </c>
      <c r="L233" s="2" t="s">
        <v>30</v>
      </c>
      <c r="M233" s="2" t="s">
        <v>38</v>
      </c>
      <c r="N233">
        <f t="shared" si="3"/>
        <v>5367</v>
      </c>
    </row>
    <row r="234" spans="1:14" ht="15.75" customHeight="1" x14ac:dyDescent="0.3">
      <c r="A234" s="2" t="s">
        <v>475</v>
      </c>
      <c r="B234" s="2" t="s">
        <v>14</v>
      </c>
      <c r="C234" s="2" t="s">
        <v>476</v>
      </c>
      <c r="D234" s="2" t="s">
        <v>52</v>
      </c>
      <c r="E234" s="2" t="s">
        <v>132</v>
      </c>
      <c r="F234" s="2">
        <v>3592</v>
      </c>
      <c r="G234" s="2">
        <v>911</v>
      </c>
      <c r="H234" s="2">
        <v>375</v>
      </c>
      <c r="I234" s="2">
        <v>50288</v>
      </c>
      <c r="J234" s="2">
        <v>49490</v>
      </c>
      <c r="K234" s="2">
        <v>32</v>
      </c>
      <c r="L234" s="2" t="s">
        <v>62</v>
      </c>
      <c r="M234" s="2" t="s">
        <v>38</v>
      </c>
      <c r="N234">
        <f t="shared" si="3"/>
        <v>4878</v>
      </c>
    </row>
    <row r="235" spans="1:14" ht="15.75" customHeight="1" x14ac:dyDescent="0.3">
      <c r="A235" s="2" t="s">
        <v>496</v>
      </c>
      <c r="B235" s="2" t="s">
        <v>43</v>
      </c>
      <c r="C235" s="2" t="s">
        <v>21</v>
      </c>
      <c r="D235" s="2" t="s">
        <v>35</v>
      </c>
      <c r="E235" s="2" t="s">
        <v>71</v>
      </c>
      <c r="F235" s="2">
        <v>3767</v>
      </c>
      <c r="G235" s="2">
        <v>514</v>
      </c>
      <c r="H235" s="2">
        <v>238</v>
      </c>
      <c r="I235" s="2">
        <v>37670</v>
      </c>
      <c r="J235" s="2">
        <v>36807</v>
      </c>
      <c r="K235" s="2">
        <v>226</v>
      </c>
      <c r="L235" s="2" t="s">
        <v>62</v>
      </c>
      <c r="M235" s="2" t="s">
        <v>38</v>
      </c>
      <c r="N235">
        <f t="shared" si="3"/>
        <v>4519</v>
      </c>
    </row>
    <row r="236" spans="1:14" ht="15.75" customHeight="1" x14ac:dyDescent="0.3">
      <c r="A236" s="2" t="s">
        <v>513</v>
      </c>
      <c r="B236" s="2" t="s">
        <v>14</v>
      </c>
      <c r="C236" s="2" t="s">
        <v>514</v>
      </c>
      <c r="D236" s="2" t="s">
        <v>45</v>
      </c>
      <c r="E236" s="2" t="s">
        <v>49</v>
      </c>
      <c r="F236" s="2">
        <v>1877</v>
      </c>
      <c r="G236" s="2">
        <v>745</v>
      </c>
      <c r="H236" s="2">
        <v>225</v>
      </c>
      <c r="I236" s="2">
        <v>11262</v>
      </c>
      <c r="J236" s="2">
        <v>10967</v>
      </c>
      <c r="K236" s="2">
        <v>41</v>
      </c>
      <c r="L236" s="2" t="s">
        <v>37</v>
      </c>
      <c r="M236" s="2" t="s">
        <v>38</v>
      </c>
      <c r="N236">
        <f t="shared" si="3"/>
        <v>2847</v>
      </c>
    </row>
    <row r="237" spans="1:14" ht="15.75" customHeight="1" x14ac:dyDescent="0.3">
      <c r="A237" s="2" t="s">
        <v>525</v>
      </c>
      <c r="B237" s="2" t="s">
        <v>27</v>
      </c>
      <c r="C237" s="2" t="s">
        <v>526</v>
      </c>
      <c r="D237" s="2" t="s">
        <v>35</v>
      </c>
      <c r="E237" s="2" t="s">
        <v>154</v>
      </c>
      <c r="F237" s="2">
        <v>3641</v>
      </c>
      <c r="G237" s="2">
        <v>226</v>
      </c>
      <c r="H237" s="2">
        <v>46</v>
      </c>
      <c r="I237" s="2">
        <v>40051</v>
      </c>
      <c r="J237" s="2">
        <v>39319</v>
      </c>
      <c r="K237" s="2">
        <v>296</v>
      </c>
      <c r="L237" s="2" t="s">
        <v>37</v>
      </c>
      <c r="M237" s="2" t="s">
        <v>38</v>
      </c>
      <c r="N237">
        <f t="shared" si="3"/>
        <v>3913</v>
      </c>
    </row>
    <row r="238" spans="1:14" ht="15.75" customHeight="1" x14ac:dyDescent="0.3">
      <c r="A238" s="2" t="s">
        <v>527</v>
      </c>
      <c r="B238" s="2" t="s">
        <v>14</v>
      </c>
      <c r="C238" s="2" t="s">
        <v>336</v>
      </c>
      <c r="D238" s="2" t="s">
        <v>45</v>
      </c>
      <c r="E238" s="2" t="s">
        <v>49</v>
      </c>
      <c r="F238" s="2">
        <v>3535</v>
      </c>
      <c r="G238" s="2">
        <v>494</v>
      </c>
      <c r="H238" s="2">
        <v>152</v>
      </c>
      <c r="I238" s="2">
        <v>53025</v>
      </c>
      <c r="J238" s="2">
        <v>52791</v>
      </c>
      <c r="K238" s="2">
        <v>44</v>
      </c>
      <c r="L238" s="2" t="s">
        <v>30</v>
      </c>
      <c r="M238" s="2" t="s">
        <v>38</v>
      </c>
      <c r="N238">
        <f t="shared" si="3"/>
        <v>4181</v>
      </c>
    </row>
    <row r="239" spans="1:14" ht="15.75" customHeight="1" x14ac:dyDescent="0.3">
      <c r="A239" s="2" t="s">
        <v>532</v>
      </c>
      <c r="B239" s="2" t="s">
        <v>14</v>
      </c>
      <c r="C239" s="2" t="s">
        <v>533</v>
      </c>
      <c r="D239" s="2" t="s">
        <v>22</v>
      </c>
      <c r="E239" s="2" t="s">
        <v>23</v>
      </c>
      <c r="F239" s="2">
        <v>4516</v>
      </c>
      <c r="G239" s="2">
        <v>836</v>
      </c>
      <c r="H239" s="2">
        <v>169</v>
      </c>
      <c r="I239" s="2">
        <v>49676</v>
      </c>
      <c r="J239" s="2">
        <v>49257</v>
      </c>
      <c r="K239" s="2">
        <v>282</v>
      </c>
      <c r="L239" s="2" t="s">
        <v>37</v>
      </c>
      <c r="M239" s="2" t="s">
        <v>38</v>
      </c>
      <c r="N239">
        <f t="shared" si="3"/>
        <v>5521</v>
      </c>
    </row>
    <row r="240" spans="1:14" ht="15.75" customHeight="1" x14ac:dyDescent="0.3">
      <c r="A240" s="2" t="s">
        <v>535</v>
      </c>
      <c r="B240" s="2" t="s">
        <v>27</v>
      </c>
      <c r="C240" s="2" t="s">
        <v>168</v>
      </c>
      <c r="D240" s="2" t="s">
        <v>74</v>
      </c>
      <c r="E240" s="2" t="s">
        <v>219</v>
      </c>
      <c r="F240" s="2">
        <v>4275</v>
      </c>
      <c r="G240" s="2">
        <v>680</v>
      </c>
      <c r="H240" s="2">
        <v>385</v>
      </c>
      <c r="I240" s="2">
        <v>64125</v>
      </c>
      <c r="J240" s="2">
        <v>63650</v>
      </c>
      <c r="K240" s="2">
        <v>104</v>
      </c>
      <c r="L240" s="2" t="s">
        <v>175</v>
      </c>
      <c r="M240" s="2" t="s">
        <v>38</v>
      </c>
      <c r="N240">
        <f t="shared" si="3"/>
        <v>5340</v>
      </c>
    </row>
    <row r="241" spans="1:14" ht="15.75" customHeight="1" x14ac:dyDescent="0.3">
      <c r="A241" s="2" t="s">
        <v>542</v>
      </c>
      <c r="B241" s="2" t="s">
        <v>14</v>
      </c>
      <c r="C241" s="2" t="s">
        <v>103</v>
      </c>
      <c r="D241" s="2" t="s">
        <v>22</v>
      </c>
      <c r="E241" s="2" t="s">
        <v>23</v>
      </c>
      <c r="F241" s="2">
        <v>571</v>
      </c>
      <c r="G241" s="2">
        <v>190</v>
      </c>
      <c r="H241" s="2">
        <v>352</v>
      </c>
      <c r="I241" s="2">
        <v>9707</v>
      </c>
      <c r="J241" s="2">
        <v>9418</v>
      </c>
      <c r="K241" s="2">
        <v>231</v>
      </c>
      <c r="L241" s="2" t="s">
        <v>30</v>
      </c>
      <c r="M241" s="2" t="s">
        <v>38</v>
      </c>
      <c r="N241">
        <f t="shared" si="3"/>
        <v>1113</v>
      </c>
    </row>
    <row r="242" spans="1:14" ht="15.75" customHeight="1" x14ac:dyDescent="0.3">
      <c r="A242" s="2" t="s">
        <v>550</v>
      </c>
      <c r="B242" s="2" t="s">
        <v>33</v>
      </c>
      <c r="C242" s="2" t="s">
        <v>551</v>
      </c>
      <c r="D242" s="2" t="s">
        <v>45</v>
      </c>
      <c r="E242" s="2" t="s">
        <v>88</v>
      </c>
      <c r="F242" s="2">
        <v>2107</v>
      </c>
      <c r="G242" s="2">
        <v>550</v>
      </c>
      <c r="H242" s="2">
        <v>349</v>
      </c>
      <c r="I242" s="2">
        <v>35819</v>
      </c>
      <c r="J242" s="2">
        <v>35340</v>
      </c>
      <c r="K242" s="2">
        <v>191</v>
      </c>
      <c r="L242" s="2" t="s">
        <v>37</v>
      </c>
      <c r="M242" s="2" t="s">
        <v>38</v>
      </c>
      <c r="N242">
        <f t="shared" si="3"/>
        <v>3006</v>
      </c>
    </row>
    <row r="243" spans="1:14" ht="15.75" customHeight="1" x14ac:dyDescent="0.3">
      <c r="A243" s="2" t="s">
        <v>552</v>
      </c>
      <c r="B243" s="2" t="s">
        <v>43</v>
      </c>
      <c r="C243" s="2" t="s">
        <v>94</v>
      </c>
      <c r="D243" s="2" t="s">
        <v>74</v>
      </c>
      <c r="E243" s="2" t="s">
        <v>75</v>
      </c>
      <c r="F243" s="2">
        <v>4663</v>
      </c>
      <c r="G243" s="2">
        <v>145</v>
      </c>
      <c r="H243" s="2">
        <v>225</v>
      </c>
      <c r="I243" s="2">
        <v>69945</v>
      </c>
      <c r="J243" s="2">
        <v>69596</v>
      </c>
      <c r="K243" s="2">
        <v>35</v>
      </c>
      <c r="L243" s="2" t="s">
        <v>37</v>
      </c>
      <c r="M243" s="2" t="s">
        <v>38</v>
      </c>
      <c r="N243">
        <f t="shared" si="3"/>
        <v>5033</v>
      </c>
    </row>
    <row r="244" spans="1:14" ht="15.75" customHeight="1" x14ac:dyDescent="0.3">
      <c r="A244" s="2" t="s">
        <v>560</v>
      </c>
      <c r="B244" s="2" t="s">
        <v>14</v>
      </c>
      <c r="C244" s="2" t="s">
        <v>561</v>
      </c>
      <c r="D244" s="2" t="s">
        <v>74</v>
      </c>
      <c r="E244" s="2" t="s">
        <v>145</v>
      </c>
      <c r="F244" s="2">
        <v>3440</v>
      </c>
      <c r="G244" s="2">
        <v>13</v>
      </c>
      <c r="H244" s="2">
        <v>20</v>
      </c>
      <c r="I244" s="2">
        <v>58480</v>
      </c>
      <c r="J244" s="2">
        <v>58146</v>
      </c>
      <c r="K244" s="2">
        <v>210</v>
      </c>
      <c r="L244" s="2" t="s">
        <v>421</v>
      </c>
      <c r="M244" s="2" t="s">
        <v>38</v>
      </c>
      <c r="N244">
        <f t="shared" si="3"/>
        <v>3473</v>
      </c>
    </row>
    <row r="245" spans="1:14" ht="15.75" customHeight="1" x14ac:dyDescent="0.3">
      <c r="A245" s="2" t="s">
        <v>562</v>
      </c>
      <c r="B245" s="2" t="s">
        <v>14</v>
      </c>
      <c r="C245" s="2" t="s">
        <v>563</v>
      </c>
      <c r="D245" s="2" t="s">
        <v>22</v>
      </c>
      <c r="E245" s="2" t="s">
        <v>23</v>
      </c>
      <c r="F245" s="2">
        <v>2166</v>
      </c>
      <c r="G245" s="2">
        <v>354</v>
      </c>
      <c r="H245" s="2">
        <v>117</v>
      </c>
      <c r="I245" s="2">
        <v>10830</v>
      </c>
      <c r="J245" s="2">
        <v>10245</v>
      </c>
      <c r="K245" s="2">
        <v>24</v>
      </c>
      <c r="L245" s="2" t="s">
        <v>37</v>
      </c>
      <c r="M245" s="2" t="s">
        <v>38</v>
      </c>
      <c r="N245">
        <f t="shared" si="3"/>
        <v>2637</v>
      </c>
    </row>
    <row r="246" spans="1:14" ht="15.75" customHeight="1" x14ac:dyDescent="0.3">
      <c r="A246" s="2" t="s">
        <v>69</v>
      </c>
      <c r="B246" s="2" t="s">
        <v>43</v>
      </c>
      <c r="C246" s="2" t="s">
        <v>70</v>
      </c>
      <c r="D246" s="2" t="s">
        <v>35</v>
      </c>
      <c r="E246" s="2" t="s">
        <v>71</v>
      </c>
      <c r="F246" s="2">
        <v>4242</v>
      </c>
      <c r="G246" s="2">
        <v>555</v>
      </c>
      <c r="H246" s="2">
        <v>131</v>
      </c>
      <c r="I246" s="2">
        <v>33936</v>
      </c>
      <c r="J246" s="2">
        <v>33802</v>
      </c>
      <c r="K246" s="2">
        <v>265</v>
      </c>
      <c r="L246" s="2" t="s">
        <v>62</v>
      </c>
      <c r="N246">
        <f t="shared" si="3"/>
        <v>4928</v>
      </c>
    </row>
    <row r="247" spans="1:14" ht="15.75" customHeight="1" x14ac:dyDescent="0.3">
      <c r="A247" s="2" t="s">
        <v>98</v>
      </c>
      <c r="B247" s="2" t="s">
        <v>14</v>
      </c>
      <c r="C247" s="2" t="s">
        <v>99</v>
      </c>
      <c r="D247" s="2" t="s">
        <v>45</v>
      </c>
      <c r="E247" s="2" t="s">
        <v>49</v>
      </c>
      <c r="F247" s="2">
        <v>3128</v>
      </c>
      <c r="G247" s="2">
        <v>211</v>
      </c>
      <c r="H247" s="2">
        <v>197</v>
      </c>
      <c r="I247" s="2">
        <v>59432</v>
      </c>
      <c r="J247" s="2">
        <v>59182</v>
      </c>
      <c r="K247" s="2">
        <v>238</v>
      </c>
      <c r="L247" s="2" t="s">
        <v>37</v>
      </c>
      <c r="N247">
        <f t="shared" si="3"/>
        <v>3536</v>
      </c>
    </row>
    <row r="248" spans="1:14" ht="15.75" customHeight="1" x14ac:dyDescent="0.3">
      <c r="A248" s="2" t="s">
        <v>109</v>
      </c>
      <c r="B248" s="2" t="s">
        <v>33</v>
      </c>
      <c r="C248" s="2" t="s">
        <v>110</v>
      </c>
      <c r="D248" s="2" t="s">
        <v>74</v>
      </c>
      <c r="E248" s="2" t="s">
        <v>85</v>
      </c>
      <c r="F248" s="2">
        <v>3095</v>
      </c>
      <c r="G248" s="2">
        <v>39</v>
      </c>
      <c r="H248" s="2">
        <v>78</v>
      </c>
      <c r="I248" s="2">
        <v>55710</v>
      </c>
      <c r="J248" s="2">
        <v>54808</v>
      </c>
      <c r="K248" s="2">
        <v>93</v>
      </c>
      <c r="L248" s="2" t="s">
        <v>37</v>
      </c>
      <c r="N248">
        <f t="shared" si="3"/>
        <v>3212</v>
      </c>
    </row>
    <row r="249" spans="1:14" ht="15.75" customHeight="1" x14ac:dyDescent="0.3">
      <c r="A249" s="2" t="s">
        <v>128</v>
      </c>
      <c r="B249" s="2" t="s">
        <v>43</v>
      </c>
      <c r="C249" s="2" t="s">
        <v>129</v>
      </c>
      <c r="D249" s="2" t="s">
        <v>52</v>
      </c>
      <c r="E249" s="2" t="s">
        <v>59</v>
      </c>
      <c r="F249" s="2">
        <v>3564</v>
      </c>
      <c r="G249" s="2">
        <v>629</v>
      </c>
      <c r="H249" s="2">
        <v>177</v>
      </c>
      <c r="I249" s="2">
        <v>60588</v>
      </c>
      <c r="J249" s="2">
        <v>59627</v>
      </c>
      <c r="K249" s="2">
        <v>92</v>
      </c>
      <c r="L249" s="2" t="s">
        <v>30</v>
      </c>
      <c r="N249">
        <f t="shared" si="3"/>
        <v>4370</v>
      </c>
    </row>
    <row r="250" spans="1:14" ht="15.75" customHeight="1" x14ac:dyDescent="0.3">
      <c r="A250" s="2" t="s">
        <v>135</v>
      </c>
      <c r="B250" s="2" t="s">
        <v>27</v>
      </c>
      <c r="C250" s="2" t="s">
        <v>136</v>
      </c>
      <c r="D250" s="2" t="s">
        <v>16</v>
      </c>
      <c r="E250" s="2" t="s">
        <v>29</v>
      </c>
      <c r="F250" s="2">
        <v>1543</v>
      </c>
      <c r="G250" s="2">
        <v>820</v>
      </c>
      <c r="H250" s="2">
        <v>333</v>
      </c>
      <c r="I250" s="2">
        <v>12344</v>
      </c>
      <c r="J250" s="2">
        <v>11496</v>
      </c>
      <c r="K250" s="2">
        <v>241</v>
      </c>
      <c r="L250" s="2" t="s">
        <v>37</v>
      </c>
      <c r="N250">
        <f t="shared" si="3"/>
        <v>2696</v>
      </c>
    </row>
    <row r="251" spans="1:14" ht="15.75" customHeight="1" x14ac:dyDescent="0.3">
      <c r="A251" s="2" t="s">
        <v>139</v>
      </c>
      <c r="B251" s="2" t="s">
        <v>14</v>
      </c>
      <c r="C251" s="2" t="s">
        <v>140</v>
      </c>
      <c r="D251" s="2" t="s">
        <v>52</v>
      </c>
      <c r="E251" s="2" t="s">
        <v>132</v>
      </c>
      <c r="F251" s="2">
        <v>2358</v>
      </c>
      <c r="G251" s="2">
        <v>784</v>
      </c>
      <c r="H251" s="2">
        <v>344</v>
      </c>
      <c r="I251" s="2">
        <v>35370</v>
      </c>
      <c r="J251" s="2">
        <v>34475</v>
      </c>
      <c r="K251" s="2">
        <v>216</v>
      </c>
      <c r="L251" s="2" t="s">
        <v>30</v>
      </c>
      <c r="N251">
        <f t="shared" si="3"/>
        <v>3486</v>
      </c>
    </row>
    <row r="252" spans="1:14" ht="15.75" customHeight="1" x14ac:dyDescent="0.3">
      <c r="A252" s="2" t="s">
        <v>146</v>
      </c>
      <c r="B252" s="2" t="s">
        <v>14</v>
      </c>
      <c r="C252" s="2" t="s">
        <v>147</v>
      </c>
      <c r="D252" s="2" t="s">
        <v>45</v>
      </c>
      <c r="E252" s="2" t="s">
        <v>49</v>
      </c>
      <c r="F252" s="2">
        <v>2704</v>
      </c>
      <c r="G252" s="2">
        <v>752</v>
      </c>
      <c r="H252" s="2">
        <v>153</v>
      </c>
      <c r="I252" s="2">
        <v>21632</v>
      </c>
      <c r="J252" s="2">
        <v>20792</v>
      </c>
      <c r="K252" s="2">
        <v>127</v>
      </c>
      <c r="L252" s="2" t="s">
        <v>62</v>
      </c>
      <c r="N252">
        <f t="shared" si="3"/>
        <v>3609</v>
      </c>
    </row>
    <row r="253" spans="1:14" ht="15.75" customHeight="1" x14ac:dyDescent="0.3">
      <c r="A253" s="2" t="s">
        <v>148</v>
      </c>
      <c r="B253" s="2" t="s">
        <v>14</v>
      </c>
      <c r="C253" s="2" t="s">
        <v>58</v>
      </c>
      <c r="D253" s="2" t="s">
        <v>35</v>
      </c>
      <c r="E253" s="2" t="s">
        <v>149</v>
      </c>
      <c r="F253" s="2">
        <v>1950</v>
      </c>
      <c r="G253" s="2">
        <v>295</v>
      </c>
      <c r="H253" s="2">
        <v>478</v>
      </c>
      <c r="I253" s="2">
        <v>37050</v>
      </c>
      <c r="J253" s="2">
        <v>36272</v>
      </c>
      <c r="K253" s="2">
        <v>119</v>
      </c>
      <c r="L253" s="2" t="s">
        <v>30</v>
      </c>
      <c r="N253">
        <f t="shared" si="3"/>
        <v>2723</v>
      </c>
    </row>
    <row r="254" spans="1:14" ht="15.75" customHeight="1" x14ac:dyDescent="0.3">
      <c r="A254" s="2" t="s">
        <v>159</v>
      </c>
      <c r="B254" s="2" t="s">
        <v>27</v>
      </c>
      <c r="C254" s="2" t="s">
        <v>147</v>
      </c>
      <c r="D254" s="2" t="s">
        <v>45</v>
      </c>
      <c r="E254" s="2" t="s">
        <v>68</v>
      </c>
      <c r="F254" s="2">
        <v>804</v>
      </c>
      <c r="G254" s="2">
        <v>639</v>
      </c>
      <c r="H254" s="2">
        <v>43</v>
      </c>
      <c r="I254" s="2">
        <v>4020</v>
      </c>
      <c r="J254" s="2">
        <v>3144</v>
      </c>
      <c r="K254" s="2">
        <v>11</v>
      </c>
      <c r="L254" s="2" t="s">
        <v>160</v>
      </c>
      <c r="N254">
        <f t="shared" si="3"/>
        <v>1486</v>
      </c>
    </row>
    <row r="255" spans="1:14" ht="15.75" customHeight="1" x14ac:dyDescent="0.3">
      <c r="A255" s="2" t="s">
        <v>171</v>
      </c>
      <c r="B255" s="2" t="s">
        <v>33</v>
      </c>
      <c r="C255" s="2" t="s">
        <v>172</v>
      </c>
      <c r="D255" s="2" t="s">
        <v>22</v>
      </c>
      <c r="E255" s="2" t="s">
        <v>113</v>
      </c>
      <c r="F255" s="2">
        <v>2180</v>
      </c>
      <c r="G255" s="2">
        <v>263</v>
      </c>
      <c r="H255" s="2">
        <v>387</v>
      </c>
      <c r="I255" s="2">
        <v>30520</v>
      </c>
      <c r="J255" s="2">
        <v>30059</v>
      </c>
      <c r="K255" s="2">
        <v>174</v>
      </c>
      <c r="L255" s="2" t="s">
        <v>37</v>
      </c>
      <c r="N255">
        <f t="shared" si="3"/>
        <v>2830</v>
      </c>
    </row>
    <row r="256" spans="1:14" ht="15.75" customHeight="1" x14ac:dyDescent="0.3">
      <c r="A256" s="2" t="s">
        <v>183</v>
      </c>
      <c r="B256" s="2" t="s">
        <v>33</v>
      </c>
      <c r="C256" s="2" t="s">
        <v>184</v>
      </c>
      <c r="D256" s="2" t="s">
        <v>35</v>
      </c>
      <c r="E256" s="2" t="s">
        <v>36</v>
      </c>
      <c r="F256" s="2">
        <v>1881</v>
      </c>
      <c r="G256" s="2">
        <v>501</v>
      </c>
      <c r="H256" s="2">
        <v>99</v>
      </c>
      <c r="I256" s="2">
        <v>20691</v>
      </c>
      <c r="J256" s="2">
        <v>19987</v>
      </c>
      <c r="K256" s="2">
        <v>289</v>
      </c>
      <c r="L256" s="2" t="s">
        <v>37</v>
      </c>
      <c r="N256">
        <f t="shared" si="3"/>
        <v>2481</v>
      </c>
    </row>
    <row r="257" spans="1:14" ht="15.75" customHeight="1" x14ac:dyDescent="0.3">
      <c r="A257" s="2" t="s">
        <v>189</v>
      </c>
      <c r="B257" s="2" t="s">
        <v>33</v>
      </c>
      <c r="C257" s="2" t="s">
        <v>190</v>
      </c>
      <c r="D257" s="2" t="s">
        <v>35</v>
      </c>
      <c r="E257" s="2" t="s">
        <v>36</v>
      </c>
      <c r="F257" s="2">
        <v>2610</v>
      </c>
      <c r="G257" s="2">
        <v>126</v>
      </c>
      <c r="H257" s="2">
        <v>288</v>
      </c>
      <c r="I257" s="2">
        <v>15660</v>
      </c>
      <c r="J257" s="2">
        <v>15145</v>
      </c>
      <c r="K257" s="2">
        <v>73</v>
      </c>
      <c r="L257" s="2" t="s">
        <v>37</v>
      </c>
      <c r="N257">
        <f t="shared" si="3"/>
        <v>3024</v>
      </c>
    </row>
    <row r="258" spans="1:14" ht="15.75" customHeight="1" x14ac:dyDescent="0.3">
      <c r="A258" s="2" t="s">
        <v>192</v>
      </c>
      <c r="B258" s="2" t="s">
        <v>43</v>
      </c>
      <c r="C258" s="2" t="s">
        <v>193</v>
      </c>
      <c r="D258" s="2" t="s">
        <v>74</v>
      </c>
      <c r="E258" s="2" t="s">
        <v>75</v>
      </c>
      <c r="F258" s="2">
        <v>199</v>
      </c>
      <c r="G258" s="2">
        <v>772</v>
      </c>
      <c r="H258" s="2">
        <v>400</v>
      </c>
      <c r="I258" s="2">
        <v>3582</v>
      </c>
      <c r="J258" s="2">
        <v>2988</v>
      </c>
      <c r="K258" s="2">
        <v>43</v>
      </c>
      <c r="L258" s="2" t="s">
        <v>30</v>
      </c>
      <c r="N258">
        <f t="shared" si="3"/>
        <v>1371</v>
      </c>
    </row>
    <row r="259" spans="1:14" ht="15.75" customHeight="1" x14ac:dyDescent="0.3">
      <c r="A259" s="2" t="s">
        <v>206</v>
      </c>
      <c r="B259" s="2" t="s">
        <v>43</v>
      </c>
      <c r="C259" s="2" t="s">
        <v>106</v>
      </c>
      <c r="D259" s="2" t="s">
        <v>35</v>
      </c>
      <c r="E259" s="2" t="s">
        <v>71</v>
      </c>
      <c r="F259" s="2">
        <v>1249</v>
      </c>
      <c r="G259" s="2">
        <v>116</v>
      </c>
      <c r="H259" s="2">
        <v>420</v>
      </c>
      <c r="I259" s="2">
        <v>8743</v>
      </c>
      <c r="J259" s="2">
        <v>8538</v>
      </c>
      <c r="K259" s="2">
        <v>63</v>
      </c>
      <c r="L259" s="2" t="s">
        <v>30</v>
      </c>
      <c r="N259">
        <f t="shared" ref="N259:N301" si="4">F259+G259+H259</f>
        <v>1785</v>
      </c>
    </row>
    <row r="260" spans="1:14" ht="15.75" customHeight="1" x14ac:dyDescent="0.3">
      <c r="A260" s="2" t="s">
        <v>210</v>
      </c>
      <c r="B260" s="2" t="s">
        <v>33</v>
      </c>
      <c r="C260" s="2" t="s">
        <v>156</v>
      </c>
      <c r="D260" s="2" t="s">
        <v>35</v>
      </c>
      <c r="E260" s="2" t="s">
        <v>36</v>
      </c>
      <c r="F260" s="2">
        <v>2103</v>
      </c>
      <c r="G260" s="2">
        <v>892</v>
      </c>
      <c r="H260" s="2">
        <v>103</v>
      </c>
      <c r="I260" s="2">
        <v>39957</v>
      </c>
      <c r="J260" s="2">
        <v>39466</v>
      </c>
      <c r="K260" s="2">
        <v>28</v>
      </c>
      <c r="L260" s="2" t="s">
        <v>62</v>
      </c>
      <c r="N260">
        <f t="shared" si="4"/>
        <v>3098</v>
      </c>
    </row>
    <row r="261" spans="1:14" ht="15.75" customHeight="1" x14ac:dyDescent="0.3">
      <c r="A261" s="2" t="s">
        <v>217</v>
      </c>
      <c r="B261" s="2" t="s">
        <v>27</v>
      </c>
      <c r="C261" s="2" t="s">
        <v>218</v>
      </c>
      <c r="D261" s="2" t="s">
        <v>74</v>
      </c>
      <c r="E261" s="2" t="s">
        <v>219</v>
      </c>
      <c r="F261" s="2">
        <v>1094</v>
      </c>
      <c r="G261" s="2">
        <v>472</v>
      </c>
      <c r="H261" s="2">
        <v>21</v>
      </c>
      <c r="I261" s="2">
        <v>9846</v>
      </c>
      <c r="J261" s="2">
        <v>9609</v>
      </c>
      <c r="K261" s="2">
        <v>112</v>
      </c>
      <c r="L261" s="2" t="s">
        <v>37</v>
      </c>
      <c r="N261">
        <f t="shared" si="4"/>
        <v>1587</v>
      </c>
    </row>
    <row r="262" spans="1:14" ht="15.75" customHeight="1" x14ac:dyDescent="0.3">
      <c r="A262" s="2" t="s">
        <v>229</v>
      </c>
      <c r="B262" s="2" t="s">
        <v>14</v>
      </c>
      <c r="C262" s="2" t="s">
        <v>230</v>
      </c>
      <c r="D262" s="2" t="s">
        <v>52</v>
      </c>
      <c r="E262" s="2" t="s">
        <v>132</v>
      </c>
      <c r="F262" s="2">
        <v>2214</v>
      </c>
      <c r="G262" s="2">
        <v>249</v>
      </c>
      <c r="H262" s="2">
        <v>152</v>
      </c>
      <c r="I262" s="2">
        <v>15498</v>
      </c>
      <c r="J262" s="2">
        <v>14800</v>
      </c>
      <c r="K262" s="2">
        <v>180</v>
      </c>
      <c r="L262" s="2" t="s">
        <v>37</v>
      </c>
      <c r="N262">
        <f t="shared" si="4"/>
        <v>2615</v>
      </c>
    </row>
    <row r="263" spans="1:14" ht="15.75" customHeight="1" x14ac:dyDescent="0.3">
      <c r="A263" s="2" t="s">
        <v>241</v>
      </c>
      <c r="B263" s="2" t="s">
        <v>14</v>
      </c>
      <c r="C263" s="2" t="s">
        <v>242</v>
      </c>
      <c r="D263" s="2" t="s">
        <v>52</v>
      </c>
      <c r="E263" s="2" t="s">
        <v>132</v>
      </c>
      <c r="F263" s="2">
        <v>1238</v>
      </c>
      <c r="G263" s="2">
        <v>366</v>
      </c>
      <c r="H263" s="2">
        <v>444</v>
      </c>
      <c r="I263" s="2">
        <v>19808</v>
      </c>
      <c r="J263" s="2">
        <v>19334</v>
      </c>
      <c r="K263" s="2">
        <v>123</v>
      </c>
      <c r="L263" s="2" t="s">
        <v>62</v>
      </c>
      <c r="N263">
        <f t="shared" si="4"/>
        <v>2048</v>
      </c>
    </row>
    <row r="264" spans="1:14" ht="15.75" customHeight="1" x14ac:dyDescent="0.3">
      <c r="A264" s="2" t="s">
        <v>248</v>
      </c>
      <c r="B264" s="2" t="s">
        <v>27</v>
      </c>
      <c r="C264" s="2" t="s">
        <v>249</v>
      </c>
      <c r="D264" s="2" t="s">
        <v>74</v>
      </c>
      <c r="E264" s="2" t="s">
        <v>219</v>
      </c>
      <c r="F264" s="2">
        <v>1766</v>
      </c>
      <c r="G264" s="2">
        <v>92</v>
      </c>
      <c r="H264" s="2">
        <v>424</v>
      </c>
      <c r="I264" s="2">
        <v>24724</v>
      </c>
      <c r="J264" s="2">
        <v>24333</v>
      </c>
      <c r="K264" s="2">
        <v>52</v>
      </c>
      <c r="L264" s="2" t="s">
        <v>37</v>
      </c>
      <c r="N264">
        <f t="shared" si="4"/>
        <v>2282</v>
      </c>
    </row>
    <row r="265" spans="1:14" ht="15.75" customHeight="1" x14ac:dyDescent="0.3">
      <c r="A265" s="2" t="s">
        <v>261</v>
      </c>
      <c r="B265" s="2" t="s">
        <v>27</v>
      </c>
      <c r="C265" s="2" t="s">
        <v>262</v>
      </c>
      <c r="D265" s="2" t="s">
        <v>52</v>
      </c>
      <c r="E265" s="2" t="s">
        <v>53</v>
      </c>
      <c r="F265" s="2">
        <v>4832</v>
      </c>
      <c r="G265" s="2">
        <v>893</v>
      </c>
      <c r="H265" s="2">
        <v>10</v>
      </c>
      <c r="I265" s="2">
        <v>91808</v>
      </c>
      <c r="J265" s="2">
        <v>91296</v>
      </c>
      <c r="K265" s="2">
        <v>182</v>
      </c>
      <c r="L265" s="2" t="s">
        <v>30</v>
      </c>
      <c r="N265">
        <f t="shared" si="4"/>
        <v>5735</v>
      </c>
    </row>
    <row r="266" spans="1:14" ht="15.75" customHeight="1" x14ac:dyDescent="0.3">
      <c r="A266" s="2" t="s">
        <v>279</v>
      </c>
      <c r="B266" s="2" t="s">
        <v>27</v>
      </c>
      <c r="C266" s="2" t="s">
        <v>280</v>
      </c>
      <c r="D266" s="2" t="s">
        <v>16</v>
      </c>
      <c r="E266" s="2" t="s">
        <v>29</v>
      </c>
      <c r="F266" s="2">
        <v>3704</v>
      </c>
      <c r="G266" s="2">
        <v>186</v>
      </c>
      <c r="H266" s="2">
        <v>458</v>
      </c>
      <c r="I266" s="2">
        <v>25928</v>
      </c>
      <c r="J266" s="2">
        <v>25081</v>
      </c>
      <c r="K266" s="2">
        <v>131</v>
      </c>
      <c r="L266" s="2" t="s">
        <v>30</v>
      </c>
      <c r="N266">
        <f t="shared" si="4"/>
        <v>4348</v>
      </c>
    </row>
    <row r="267" spans="1:14" ht="15.75" customHeight="1" x14ac:dyDescent="0.3">
      <c r="A267" s="2" t="s">
        <v>284</v>
      </c>
      <c r="B267" s="2" t="s">
        <v>33</v>
      </c>
      <c r="C267" s="2" t="s">
        <v>285</v>
      </c>
      <c r="D267" s="2" t="s">
        <v>16</v>
      </c>
      <c r="E267" s="2" t="s">
        <v>82</v>
      </c>
      <c r="F267" s="2">
        <v>1970</v>
      </c>
      <c r="G267" s="2">
        <v>675</v>
      </c>
      <c r="H267" s="2">
        <v>478</v>
      </c>
      <c r="I267" s="2">
        <v>9850</v>
      </c>
      <c r="J267" s="2">
        <v>8924</v>
      </c>
      <c r="K267" s="2">
        <v>117</v>
      </c>
      <c r="L267" s="2" t="s">
        <v>62</v>
      </c>
      <c r="N267">
        <f t="shared" si="4"/>
        <v>3123</v>
      </c>
    </row>
    <row r="268" spans="1:14" ht="15.75" customHeight="1" x14ac:dyDescent="0.3">
      <c r="A268" s="2" t="s">
        <v>287</v>
      </c>
      <c r="B268" s="2" t="s">
        <v>33</v>
      </c>
      <c r="C268" s="2" t="s">
        <v>268</v>
      </c>
      <c r="D268" s="2" t="s">
        <v>35</v>
      </c>
      <c r="E268" s="2" t="s">
        <v>36</v>
      </c>
      <c r="F268" s="2">
        <v>498</v>
      </c>
      <c r="G268" s="2">
        <v>701</v>
      </c>
      <c r="H268" s="2">
        <v>412</v>
      </c>
      <c r="I268" s="2">
        <v>4980</v>
      </c>
      <c r="J268" s="2">
        <v>4185</v>
      </c>
      <c r="K268" s="2">
        <v>185</v>
      </c>
      <c r="L268" s="2" t="s">
        <v>62</v>
      </c>
      <c r="N268">
        <f t="shared" si="4"/>
        <v>1611</v>
      </c>
    </row>
    <row r="269" spans="1:14" ht="15.75" customHeight="1" x14ac:dyDescent="0.3">
      <c r="A269" s="2" t="s">
        <v>294</v>
      </c>
      <c r="B269" s="2" t="s">
        <v>33</v>
      </c>
      <c r="C269" s="2" t="s">
        <v>184</v>
      </c>
      <c r="D269" s="2" t="s">
        <v>45</v>
      </c>
      <c r="E269" s="2" t="s">
        <v>88</v>
      </c>
      <c r="F269" s="2">
        <v>4158</v>
      </c>
      <c r="G269" s="2">
        <v>167</v>
      </c>
      <c r="H269" s="2">
        <v>241</v>
      </c>
      <c r="I269" s="2">
        <v>45738</v>
      </c>
      <c r="J269" s="2">
        <v>45183</v>
      </c>
      <c r="K269" s="2">
        <v>142</v>
      </c>
      <c r="L269" s="2" t="s">
        <v>62</v>
      </c>
      <c r="N269">
        <f t="shared" si="4"/>
        <v>4566</v>
      </c>
    </row>
    <row r="270" spans="1:14" ht="15.75" customHeight="1" x14ac:dyDescent="0.3">
      <c r="A270" s="2" t="s">
        <v>296</v>
      </c>
      <c r="B270" s="2" t="s">
        <v>14</v>
      </c>
      <c r="C270" s="2" t="s">
        <v>230</v>
      </c>
      <c r="D270" s="2" t="s">
        <v>52</v>
      </c>
      <c r="E270" s="2" t="s">
        <v>132</v>
      </c>
      <c r="F270" s="2">
        <v>3092</v>
      </c>
      <c r="G270" s="2">
        <v>106</v>
      </c>
      <c r="H270" s="2">
        <v>291</v>
      </c>
      <c r="I270" s="2">
        <v>27828</v>
      </c>
      <c r="J270" s="2">
        <v>27217</v>
      </c>
      <c r="K270" s="2">
        <v>102</v>
      </c>
      <c r="L270" s="2" t="s">
        <v>62</v>
      </c>
      <c r="N270">
        <f t="shared" si="4"/>
        <v>3489</v>
      </c>
    </row>
    <row r="271" spans="1:14" ht="15.75" customHeight="1" x14ac:dyDescent="0.3">
      <c r="A271" s="2" t="s">
        <v>297</v>
      </c>
      <c r="B271" s="2" t="s">
        <v>14</v>
      </c>
      <c r="C271" s="2" t="s">
        <v>64</v>
      </c>
      <c r="D271" s="2" t="s">
        <v>22</v>
      </c>
      <c r="E271" s="2" t="s">
        <v>23</v>
      </c>
      <c r="F271" s="2">
        <v>2147</v>
      </c>
      <c r="G271" s="2">
        <v>430</v>
      </c>
      <c r="H271" s="2">
        <v>393</v>
      </c>
      <c r="I271" s="2">
        <v>17176</v>
      </c>
      <c r="J271" s="2">
        <v>16483</v>
      </c>
      <c r="K271" s="2">
        <v>170</v>
      </c>
      <c r="L271" s="2" t="s">
        <v>30</v>
      </c>
      <c r="N271">
        <f t="shared" si="4"/>
        <v>2970</v>
      </c>
    </row>
    <row r="272" spans="1:14" ht="15.75" customHeight="1" x14ac:dyDescent="0.3">
      <c r="A272" s="2" t="s">
        <v>310</v>
      </c>
      <c r="B272" s="2" t="s">
        <v>43</v>
      </c>
      <c r="C272" s="2" t="s">
        <v>115</v>
      </c>
      <c r="D272" s="2" t="s">
        <v>74</v>
      </c>
      <c r="E272" s="2" t="s">
        <v>75</v>
      </c>
      <c r="F272" s="2">
        <v>3008</v>
      </c>
      <c r="G272" s="2">
        <v>94</v>
      </c>
      <c r="H272" s="2">
        <v>37</v>
      </c>
      <c r="I272" s="2">
        <v>15040</v>
      </c>
      <c r="J272" s="2">
        <v>14639</v>
      </c>
      <c r="K272" s="2">
        <v>277</v>
      </c>
      <c r="L272" s="2" t="s">
        <v>62</v>
      </c>
      <c r="N272">
        <f t="shared" si="4"/>
        <v>3139</v>
      </c>
    </row>
    <row r="273" spans="1:14" ht="15.75" customHeight="1" x14ac:dyDescent="0.3">
      <c r="A273" s="2" t="s">
        <v>317</v>
      </c>
      <c r="B273" s="2" t="s">
        <v>14</v>
      </c>
      <c r="C273" s="2" t="s">
        <v>318</v>
      </c>
      <c r="D273" s="2" t="s">
        <v>52</v>
      </c>
      <c r="E273" s="2" t="s">
        <v>132</v>
      </c>
      <c r="F273" s="2">
        <v>3170</v>
      </c>
      <c r="G273" s="2">
        <v>857</v>
      </c>
      <c r="H273" s="2">
        <v>379</v>
      </c>
      <c r="I273" s="2">
        <v>19020</v>
      </c>
      <c r="J273" s="2">
        <v>18559</v>
      </c>
      <c r="K273" s="2">
        <v>240</v>
      </c>
      <c r="L273" s="2" t="s">
        <v>62</v>
      </c>
      <c r="N273">
        <f t="shared" si="4"/>
        <v>4406</v>
      </c>
    </row>
    <row r="274" spans="1:14" ht="15.75" customHeight="1" x14ac:dyDescent="0.3">
      <c r="A274" s="2" t="s">
        <v>323</v>
      </c>
      <c r="B274" s="2" t="s">
        <v>27</v>
      </c>
      <c r="C274" s="2" t="s">
        <v>324</v>
      </c>
      <c r="D274" s="2" t="s">
        <v>16</v>
      </c>
      <c r="E274" s="2" t="s">
        <v>29</v>
      </c>
      <c r="F274" s="2">
        <v>3065</v>
      </c>
      <c r="G274" s="2">
        <v>772</v>
      </c>
      <c r="H274" s="2">
        <v>142</v>
      </c>
      <c r="I274" s="2">
        <v>18390</v>
      </c>
      <c r="J274" s="2">
        <v>17875</v>
      </c>
      <c r="K274" s="2">
        <v>200</v>
      </c>
      <c r="L274" s="2" t="s">
        <v>325</v>
      </c>
      <c r="N274">
        <f t="shared" si="4"/>
        <v>3979</v>
      </c>
    </row>
    <row r="275" spans="1:14" ht="15.75" customHeight="1" x14ac:dyDescent="0.3">
      <c r="A275" s="2" t="s">
        <v>347</v>
      </c>
      <c r="B275" s="2" t="s">
        <v>14</v>
      </c>
      <c r="C275" s="2" t="s">
        <v>348</v>
      </c>
      <c r="D275" s="2" t="s">
        <v>74</v>
      </c>
      <c r="E275" s="2" t="s">
        <v>145</v>
      </c>
      <c r="F275" s="2">
        <v>1082</v>
      </c>
      <c r="G275" s="2">
        <v>209</v>
      </c>
      <c r="H275" s="2">
        <v>484</v>
      </c>
      <c r="I275" s="2">
        <v>19476</v>
      </c>
      <c r="J275" s="2">
        <v>18654</v>
      </c>
      <c r="K275" s="2">
        <v>20</v>
      </c>
      <c r="L275" s="2" t="s">
        <v>30</v>
      </c>
      <c r="N275">
        <f t="shared" si="4"/>
        <v>1775</v>
      </c>
    </row>
    <row r="276" spans="1:14" ht="15.75" customHeight="1" x14ac:dyDescent="0.3">
      <c r="A276" s="2" t="s">
        <v>351</v>
      </c>
      <c r="B276" s="2" t="s">
        <v>43</v>
      </c>
      <c r="C276" s="2" t="s">
        <v>352</v>
      </c>
      <c r="D276" s="2" t="s">
        <v>35</v>
      </c>
      <c r="E276" s="2" t="s">
        <v>71</v>
      </c>
      <c r="F276" s="2">
        <v>3430</v>
      </c>
      <c r="G276" s="2">
        <v>566</v>
      </c>
      <c r="H276" s="2">
        <v>164</v>
      </c>
      <c r="I276" s="2">
        <v>48020</v>
      </c>
      <c r="J276" s="2">
        <v>47305</v>
      </c>
      <c r="K276" s="2">
        <v>120</v>
      </c>
      <c r="L276" s="2" t="s">
        <v>62</v>
      </c>
      <c r="N276">
        <f t="shared" si="4"/>
        <v>4160</v>
      </c>
    </row>
    <row r="277" spans="1:14" ht="15.75" customHeight="1" x14ac:dyDescent="0.3">
      <c r="A277" s="2" t="s">
        <v>358</v>
      </c>
      <c r="B277" s="2" t="s">
        <v>33</v>
      </c>
      <c r="C277" s="2" t="s">
        <v>307</v>
      </c>
      <c r="D277" s="2" t="s">
        <v>22</v>
      </c>
      <c r="E277" s="2" t="s">
        <v>113</v>
      </c>
      <c r="F277" s="2">
        <v>4771</v>
      </c>
      <c r="G277" s="2">
        <v>818</v>
      </c>
      <c r="H277" s="2">
        <v>56</v>
      </c>
      <c r="I277" s="2">
        <v>57252</v>
      </c>
      <c r="J277" s="2">
        <v>56378</v>
      </c>
      <c r="K277" s="2">
        <v>150</v>
      </c>
      <c r="L277" s="2" t="s">
        <v>62</v>
      </c>
      <c r="N277">
        <f t="shared" si="4"/>
        <v>5645</v>
      </c>
    </row>
    <row r="278" spans="1:14" ht="15.75" customHeight="1" x14ac:dyDescent="0.3">
      <c r="A278" s="2" t="s">
        <v>371</v>
      </c>
      <c r="B278" s="2" t="s">
        <v>43</v>
      </c>
      <c r="C278" s="2" t="s">
        <v>172</v>
      </c>
      <c r="D278" s="2" t="s">
        <v>22</v>
      </c>
      <c r="E278" s="2" t="s">
        <v>56</v>
      </c>
      <c r="F278" s="2">
        <v>3828</v>
      </c>
      <c r="G278" s="2">
        <v>148</v>
      </c>
      <c r="H278" s="2">
        <v>253</v>
      </c>
      <c r="I278" s="2">
        <v>30624</v>
      </c>
      <c r="J278" s="2">
        <v>30229</v>
      </c>
      <c r="K278" s="2">
        <v>235</v>
      </c>
      <c r="L278" s="2" t="s">
        <v>37</v>
      </c>
      <c r="N278">
        <f t="shared" si="4"/>
        <v>4229</v>
      </c>
    </row>
    <row r="279" spans="1:14" ht="15.75" customHeight="1" x14ac:dyDescent="0.3">
      <c r="A279" s="2" t="s">
        <v>379</v>
      </c>
      <c r="B279" s="2" t="s">
        <v>43</v>
      </c>
      <c r="C279" s="2" t="s">
        <v>315</v>
      </c>
      <c r="D279" s="2" t="s">
        <v>45</v>
      </c>
      <c r="E279" s="2" t="s">
        <v>46</v>
      </c>
      <c r="F279" s="2">
        <v>3796</v>
      </c>
      <c r="G279" s="2">
        <v>667</v>
      </c>
      <c r="H279" s="2">
        <v>395</v>
      </c>
      <c r="I279" s="2">
        <v>64532</v>
      </c>
      <c r="J279" s="2">
        <v>63550</v>
      </c>
      <c r="K279" s="2">
        <v>292</v>
      </c>
      <c r="L279" s="2" t="s">
        <v>30</v>
      </c>
      <c r="N279">
        <f t="shared" si="4"/>
        <v>4858</v>
      </c>
    </row>
    <row r="280" spans="1:14" ht="15.75" customHeight="1" x14ac:dyDescent="0.3">
      <c r="A280" s="2" t="s">
        <v>388</v>
      </c>
      <c r="B280" s="2" t="s">
        <v>33</v>
      </c>
      <c r="C280" s="2" t="s">
        <v>389</v>
      </c>
      <c r="D280" s="2" t="s">
        <v>45</v>
      </c>
      <c r="E280" s="2" t="s">
        <v>88</v>
      </c>
      <c r="F280" s="2">
        <v>4523</v>
      </c>
      <c r="G280" s="2">
        <v>61</v>
      </c>
      <c r="H280" s="2">
        <v>157</v>
      </c>
      <c r="I280" s="2">
        <v>49753</v>
      </c>
      <c r="J280" s="2">
        <v>49329</v>
      </c>
      <c r="K280" s="2">
        <v>71</v>
      </c>
      <c r="L280" s="2" t="s">
        <v>37</v>
      </c>
      <c r="N280">
        <f t="shared" si="4"/>
        <v>4741</v>
      </c>
    </row>
    <row r="281" spans="1:14" ht="15.75" customHeight="1" x14ac:dyDescent="0.3">
      <c r="A281" s="2" t="s">
        <v>395</v>
      </c>
      <c r="B281" s="2" t="s">
        <v>27</v>
      </c>
      <c r="C281" s="2" t="s">
        <v>396</v>
      </c>
      <c r="D281" s="2" t="s">
        <v>22</v>
      </c>
      <c r="E281" s="2" t="s">
        <v>104</v>
      </c>
      <c r="F281" s="2">
        <v>1963</v>
      </c>
      <c r="G281" s="2">
        <v>213</v>
      </c>
      <c r="H281" s="2">
        <v>19</v>
      </c>
      <c r="I281" s="2">
        <v>39260</v>
      </c>
      <c r="J281" s="2">
        <v>38771</v>
      </c>
      <c r="K281" s="2">
        <v>145</v>
      </c>
      <c r="L281" s="2" t="s">
        <v>62</v>
      </c>
      <c r="N281">
        <f t="shared" si="4"/>
        <v>2195</v>
      </c>
    </row>
    <row r="282" spans="1:14" ht="15.75" customHeight="1" x14ac:dyDescent="0.3">
      <c r="A282" s="2" t="s">
        <v>398</v>
      </c>
      <c r="B282" s="2" t="s">
        <v>33</v>
      </c>
      <c r="C282" s="2" t="s">
        <v>399</v>
      </c>
      <c r="D282" s="2" t="s">
        <v>74</v>
      </c>
      <c r="E282" s="2" t="s">
        <v>85</v>
      </c>
      <c r="F282" s="2">
        <v>1176</v>
      </c>
      <c r="G282" s="2">
        <v>464</v>
      </c>
      <c r="H282" s="2">
        <v>394</v>
      </c>
      <c r="I282" s="2">
        <v>14112</v>
      </c>
      <c r="J282" s="2">
        <v>13588</v>
      </c>
      <c r="K282" s="2">
        <v>272</v>
      </c>
      <c r="L282" s="2" t="s">
        <v>37</v>
      </c>
      <c r="N282">
        <f t="shared" si="4"/>
        <v>2034</v>
      </c>
    </row>
    <row r="283" spans="1:14" ht="15.75" customHeight="1" x14ac:dyDescent="0.3">
      <c r="A283" s="2" t="s">
        <v>438</v>
      </c>
      <c r="B283" s="2" t="s">
        <v>43</v>
      </c>
      <c r="C283" s="2" t="s">
        <v>362</v>
      </c>
      <c r="D283" s="2" t="s">
        <v>52</v>
      </c>
      <c r="E283" s="2" t="s">
        <v>59</v>
      </c>
      <c r="F283" s="2">
        <v>4606</v>
      </c>
      <c r="G283" s="2">
        <v>931</v>
      </c>
      <c r="H283" s="2">
        <v>230</v>
      </c>
      <c r="I283" s="2">
        <v>92120</v>
      </c>
      <c r="J283" s="2">
        <v>91440</v>
      </c>
      <c r="K283" s="2">
        <v>56</v>
      </c>
      <c r="L283" s="2" t="s">
        <v>30</v>
      </c>
      <c r="N283">
        <f t="shared" si="4"/>
        <v>5767</v>
      </c>
    </row>
    <row r="284" spans="1:14" ht="15.75" customHeight="1" x14ac:dyDescent="0.3">
      <c r="A284" s="2" t="s">
        <v>441</v>
      </c>
      <c r="B284" s="2" t="s">
        <v>33</v>
      </c>
      <c r="C284" s="2" t="s">
        <v>416</v>
      </c>
      <c r="D284" s="2" t="s">
        <v>35</v>
      </c>
      <c r="E284" s="2" t="s">
        <v>36</v>
      </c>
      <c r="F284" s="2">
        <v>84</v>
      </c>
      <c r="G284" s="2">
        <v>897</v>
      </c>
      <c r="H284" s="2">
        <v>85</v>
      </c>
      <c r="I284" s="2">
        <v>588</v>
      </c>
      <c r="J284" s="2">
        <v>8</v>
      </c>
      <c r="K284" s="2">
        <v>12</v>
      </c>
      <c r="L284" s="2" t="s">
        <v>37</v>
      </c>
      <c r="N284">
        <f t="shared" si="4"/>
        <v>1066</v>
      </c>
    </row>
    <row r="285" spans="1:14" ht="15.75" customHeight="1" x14ac:dyDescent="0.3">
      <c r="A285" s="2" t="s">
        <v>442</v>
      </c>
      <c r="B285" s="2" t="s">
        <v>43</v>
      </c>
      <c r="C285" s="2" t="s">
        <v>256</v>
      </c>
      <c r="D285" s="2" t="s">
        <v>74</v>
      </c>
      <c r="E285" s="2" t="s">
        <v>75</v>
      </c>
      <c r="F285" s="2">
        <v>4453</v>
      </c>
      <c r="G285" s="2">
        <v>111</v>
      </c>
      <c r="H285" s="2">
        <v>420</v>
      </c>
      <c r="I285" s="2">
        <v>31171</v>
      </c>
      <c r="J285" s="2">
        <v>30565</v>
      </c>
      <c r="K285" s="2">
        <v>23</v>
      </c>
      <c r="L285" s="2" t="s">
        <v>30</v>
      </c>
      <c r="N285">
        <f t="shared" si="4"/>
        <v>4984</v>
      </c>
    </row>
    <row r="286" spans="1:14" ht="15.75" customHeight="1" x14ac:dyDescent="0.3">
      <c r="A286" s="2" t="s">
        <v>446</v>
      </c>
      <c r="B286" s="2" t="s">
        <v>14</v>
      </c>
      <c r="C286" s="2" t="s">
        <v>360</v>
      </c>
      <c r="D286" s="2" t="s">
        <v>52</v>
      </c>
      <c r="E286" s="2" t="s">
        <v>132</v>
      </c>
      <c r="F286" s="2">
        <v>3338</v>
      </c>
      <c r="G286" s="2">
        <v>277</v>
      </c>
      <c r="H286" s="2">
        <v>118</v>
      </c>
      <c r="I286" s="2">
        <v>60084</v>
      </c>
      <c r="J286" s="2">
        <v>59842</v>
      </c>
      <c r="K286" s="2">
        <v>252</v>
      </c>
      <c r="L286" s="2" t="s">
        <v>30</v>
      </c>
      <c r="N286">
        <f t="shared" si="4"/>
        <v>3733</v>
      </c>
    </row>
    <row r="287" spans="1:14" ht="15.75" customHeight="1" x14ac:dyDescent="0.3">
      <c r="A287" s="2" t="s">
        <v>449</v>
      </c>
      <c r="B287" s="2" t="s">
        <v>14</v>
      </c>
      <c r="C287" s="2" t="s">
        <v>375</v>
      </c>
      <c r="D287" s="2" t="s">
        <v>45</v>
      </c>
      <c r="E287" s="2" t="s">
        <v>49</v>
      </c>
      <c r="F287" s="2">
        <v>4672</v>
      </c>
      <c r="G287" s="2">
        <v>325</v>
      </c>
      <c r="H287" s="2">
        <v>32</v>
      </c>
      <c r="I287" s="2">
        <v>88768</v>
      </c>
      <c r="J287" s="2">
        <v>87833</v>
      </c>
      <c r="K287" s="2">
        <v>118</v>
      </c>
      <c r="L287" s="2" t="s">
        <v>37</v>
      </c>
      <c r="N287">
        <f t="shared" si="4"/>
        <v>5029</v>
      </c>
    </row>
    <row r="288" spans="1:14" ht="15.75" customHeight="1" x14ac:dyDescent="0.3">
      <c r="A288" s="2" t="s">
        <v>450</v>
      </c>
      <c r="B288" s="2" t="s">
        <v>33</v>
      </c>
      <c r="C288" s="2" t="s">
        <v>451</v>
      </c>
      <c r="D288" s="2" t="s">
        <v>45</v>
      </c>
      <c r="E288" s="2" t="s">
        <v>88</v>
      </c>
      <c r="F288" s="2">
        <v>1741</v>
      </c>
      <c r="G288" s="2">
        <v>164</v>
      </c>
      <c r="H288" s="2">
        <v>318</v>
      </c>
      <c r="I288" s="2">
        <v>8705</v>
      </c>
      <c r="J288" s="2">
        <v>8272</v>
      </c>
      <c r="K288" s="2">
        <v>121</v>
      </c>
      <c r="L288" s="2" t="s">
        <v>30</v>
      </c>
      <c r="N288">
        <f t="shared" si="4"/>
        <v>2223</v>
      </c>
    </row>
    <row r="289" spans="1:14" ht="15.75" customHeight="1" x14ac:dyDescent="0.3">
      <c r="A289" s="2" t="s">
        <v>456</v>
      </c>
      <c r="B289" s="2" t="s">
        <v>33</v>
      </c>
      <c r="C289" s="2" t="s">
        <v>153</v>
      </c>
      <c r="D289" s="2" t="s">
        <v>45</v>
      </c>
      <c r="E289" s="2" t="s">
        <v>88</v>
      </c>
      <c r="F289" s="2">
        <v>4799</v>
      </c>
      <c r="G289" s="2">
        <v>694</v>
      </c>
      <c r="H289" s="2">
        <v>289</v>
      </c>
      <c r="I289" s="2">
        <v>43191</v>
      </c>
      <c r="J289" s="2">
        <v>42228</v>
      </c>
      <c r="K289" s="2">
        <v>118</v>
      </c>
      <c r="L289" s="2" t="s">
        <v>30</v>
      </c>
      <c r="N289">
        <f t="shared" si="4"/>
        <v>5782</v>
      </c>
    </row>
    <row r="290" spans="1:14" ht="15.75" customHeight="1" x14ac:dyDescent="0.3">
      <c r="A290" s="2" t="s">
        <v>462</v>
      </c>
      <c r="B290" s="2" t="s">
        <v>43</v>
      </c>
      <c r="C290" s="2" t="s">
        <v>463</v>
      </c>
      <c r="D290" s="2" t="s">
        <v>22</v>
      </c>
      <c r="E290" s="2" t="s">
        <v>56</v>
      </c>
      <c r="F290" s="2">
        <v>1272</v>
      </c>
      <c r="G290" s="2">
        <v>465</v>
      </c>
      <c r="H290" s="2">
        <v>99</v>
      </c>
      <c r="I290" s="2">
        <v>24168</v>
      </c>
      <c r="J290" s="2">
        <v>23719</v>
      </c>
      <c r="K290" s="2">
        <v>42</v>
      </c>
      <c r="L290" s="2" t="s">
        <v>30</v>
      </c>
      <c r="N290">
        <f t="shared" si="4"/>
        <v>1836</v>
      </c>
    </row>
    <row r="291" spans="1:14" ht="15.75" customHeight="1" x14ac:dyDescent="0.3">
      <c r="A291" s="2" t="s">
        <v>470</v>
      </c>
      <c r="B291" s="2" t="s">
        <v>27</v>
      </c>
      <c r="C291" s="2" t="s">
        <v>147</v>
      </c>
      <c r="D291" s="2" t="s">
        <v>22</v>
      </c>
      <c r="E291" s="2" t="s">
        <v>104</v>
      </c>
      <c r="F291" s="2">
        <v>4188</v>
      </c>
      <c r="G291" s="2">
        <v>942</v>
      </c>
      <c r="H291" s="2">
        <v>118</v>
      </c>
      <c r="I291" s="2">
        <v>20940</v>
      </c>
      <c r="J291" s="2">
        <v>20471</v>
      </c>
      <c r="K291" s="2">
        <v>102</v>
      </c>
      <c r="L291" s="2" t="s">
        <v>62</v>
      </c>
      <c r="N291">
        <f t="shared" si="4"/>
        <v>5248</v>
      </c>
    </row>
    <row r="292" spans="1:14" ht="15.75" customHeight="1" x14ac:dyDescent="0.3">
      <c r="A292" s="2" t="s">
        <v>483</v>
      </c>
      <c r="B292" s="2" t="s">
        <v>43</v>
      </c>
      <c r="C292" s="2" t="s">
        <v>484</v>
      </c>
      <c r="D292" s="2" t="s">
        <v>16</v>
      </c>
      <c r="E292" s="2" t="s">
        <v>65</v>
      </c>
      <c r="F292" s="2">
        <v>3960</v>
      </c>
      <c r="G292" s="2">
        <v>266</v>
      </c>
      <c r="H292" s="2">
        <v>8</v>
      </c>
      <c r="I292" s="2">
        <v>35640</v>
      </c>
      <c r="J292" s="2">
        <v>34850</v>
      </c>
      <c r="K292" s="2">
        <v>208</v>
      </c>
      <c r="L292" s="2" t="s">
        <v>485</v>
      </c>
      <c r="N292">
        <f t="shared" si="4"/>
        <v>4234</v>
      </c>
    </row>
    <row r="293" spans="1:14" ht="15.75" customHeight="1" x14ac:dyDescent="0.3">
      <c r="A293" s="2" t="s">
        <v>486</v>
      </c>
      <c r="B293" s="2" t="s">
        <v>43</v>
      </c>
      <c r="C293" s="2" t="s">
        <v>61</v>
      </c>
      <c r="D293" s="2" t="s">
        <v>35</v>
      </c>
      <c r="E293" s="2" t="s">
        <v>71</v>
      </c>
      <c r="F293" s="2">
        <v>886</v>
      </c>
      <c r="G293" s="2">
        <v>126</v>
      </c>
      <c r="H293" s="2">
        <v>153</v>
      </c>
      <c r="I293" s="2">
        <v>4430</v>
      </c>
      <c r="J293" s="2">
        <v>4037</v>
      </c>
      <c r="K293" s="2">
        <v>212</v>
      </c>
      <c r="L293" s="2" t="s">
        <v>37</v>
      </c>
      <c r="N293">
        <f t="shared" si="4"/>
        <v>1165</v>
      </c>
    </row>
    <row r="294" spans="1:14" ht="15.75" customHeight="1" x14ac:dyDescent="0.3">
      <c r="A294" s="2" t="s">
        <v>488</v>
      </c>
      <c r="B294" s="2" t="s">
        <v>43</v>
      </c>
      <c r="C294" s="2" t="s">
        <v>172</v>
      </c>
      <c r="D294" s="2" t="s">
        <v>16</v>
      </c>
      <c r="E294" s="2" t="s">
        <v>65</v>
      </c>
      <c r="F294" s="2">
        <v>3813</v>
      </c>
      <c r="G294" s="2">
        <v>935</v>
      </c>
      <c r="H294" s="2">
        <v>274</v>
      </c>
      <c r="I294" s="2">
        <v>68634</v>
      </c>
      <c r="J294" s="2">
        <v>68488</v>
      </c>
      <c r="K294" s="2">
        <v>251</v>
      </c>
      <c r="L294" s="2" t="s">
        <v>62</v>
      </c>
      <c r="N294">
        <f t="shared" si="4"/>
        <v>5022</v>
      </c>
    </row>
    <row r="295" spans="1:14" ht="15.75" customHeight="1" x14ac:dyDescent="0.3">
      <c r="A295" s="2" t="s">
        <v>489</v>
      </c>
      <c r="B295" s="2" t="s">
        <v>33</v>
      </c>
      <c r="C295" s="2" t="s">
        <v>490</v>
      </c>
      <c r="D295" s="2" t="s">
        <v>45</v>
      </c>
      <c r="E295" s="2" t="s">
        <v>88</v>
      </c>
      <c r="F295" s="2">
        <v>1377</v>
      </c>
      <c r="G295" s="2">
        <v>796</v>
      </c>
      <c r="H295" s="2">
        <v>387</v>
      </c>
      <c r="I295" s="2">
        <v>22032</v>
      </c>
      <c r="J295" s="2">
        <v>21869</v>
      </c>
      <c r="K295" s="2">
        <v>189</v>
      </c>
      <c r="L295" s="2" t="s">
        <v>62</v>
      </c>
      <c r="N295">
        <f t="shared" si="4"/>
        <v>2560</v>
      </c>
    </row>
    <row r="296" spans="1:14" ht="15.75" customHeight="1" x14ac:dyDescent="0.3">
      <c r="A296" s="2" t="s">
        <v>492</v>
      </c>
      <c r="B296" s="2" t="s">
        <v>14</v>
      </c>
      <c r="C296" s="2" t="s">
        <v>493</v>
      </c>
      <c r="D296" s="2" t="s">
        <v>16</v>
      </c>
      <c r="E296" s="2" t="s">
        <v>17</v>
      </c>
      <c r="F296" s="2">
        <v>3791</v>
      </c>
      <c r="G296" s="2">
        <v>593</v>
      </c>
      <c r="H296" s="2">
        <v>228</v>
      </c>
      <c r="I296" s="2">
        <v>53074</v>
      </c>
      <c r="J296" s="2">
        <v>52613</v>
      </c>
      <c r="K296" s="2">
        <v>205</v>
      </c>
      <c r="L296" s="2" t="s">
        <v>37</v>
      </c>
      <c r="N296">
        <f t="shared" si="4"/>
        <v>4612</v>
      </c>
    </row>
    <row r="297" spans="1:14" ht="15.75" customHeight="1" x14ac:dyDescent="0.3">
      <c r="A297" s="2" t="s">
        <v>508</v>
      </c>
      <c r="B297" s="2" t="s">
        <v>27</v>
      </c>
      <c r="C297" s="2" t="s">
        <v>473</v>
      </c>
      <c r="D297" s="2" t="s">
        <v>52</v>
      </c>
      <c r="E297" s="2" t="s">
        <v>53</v>
      </c>
      <c r="F297" s="2">
        <v>1206</v>
      </c>
      <c r="G297" s="2">
        <v>238</v>
      </c>
      <c r="H297" s="2">
        <v>36</v>
      </c>
      <c r="I297" s="2">
        <v>9648</v>
      </c>
      <c r="J297" s="2">
        <v>9417</v>
      </c>
      <c r="K297" s="2">
        <v>237</v>
      </c>
      <c r="L297" s="2" t="s">
        <v>30</v>
      </c>
      <c r="N297">
        <f t="shared" si="4"/>
        <v>1480</v>
      </c>
    </row>
    <row r="298" spans="1:14" ht="15.75" customHeight="1" x14ac:dyDescent="0.3">
      <c r="A298" s="2" t="s">
        <v>516</v>
      </c>
      <c r="B298" s="2" t="s">
        <v>14</v>
      </c>
      <c r="C298" s="2" t="s">
        <v>396</v>
      </c>
      <c r="D298" s="2" t="s">
        <v>16</v>
      </c>
      <c r="E298" s="2" t="s">
        <v>17</v>
      </c>
      <c r="F298" s="2">
        <v>4187</v>
      </c>
      <c r="G298" s="2">
        <v>66</v>
      </c>
      <c r="H298" s="2">
        <v>31</v>
      </c>
      <c r="I298" s="2">
        <v>66992</v>
      </c>
      <c r="J298" s="2">
        <v>66614</v>
      </c>
      <c r="K298" s="2">
        <v>62</v>
      </c>
      <c r="L298" s="2" t="s">
        <v>62</v>
      </c>
      <c r="N298">
        <f t="shared" si="4"/>
        <v>4284</v>
      </c>
    </row>
    <row r="299" spans="1:14" ht="15.75" customHeight="1" x14ac:dyDescent="0.3">
      <c r="A299" s="2" t="s">
        <v>543</v>
      </c>
      <c r="B299" s="2" t="s">
        <v>27</v>
      </c>
      <c r="C299" s="2" t="s">
        <v>430</v>
      </c>
      <c r="D299" s="2" t="s">
        <v>22</v>
      </c>
      <c r="E299" s="2" t="s">
        <v>104</v>
      </c>
      <c r="F299" s="2">
        <v>4021</v>
      </c>
      <c r="G299" s="2">
        <v>794</v>
      </c>
      <c r="H299" s="2">
        <v>77</v>
      </c>
      <c r="I299" s="2">
        <v>36189</v>
      </c>
      <c r="J299" s="2">
        <v>35505</v>
      </c>
      <c r="K299" s="2">
        <v>174</v>
      </c>
      <c r="L299" s="2" t="s">
        <v>37</v>
      </c>
      <c r="N299">
        <f t="shared" si="4"/>
        <v>4892</v>
      </c>
    </row>
    <row r="300" spans="1:14" ht="15.75" customHeight="1" x14ac:dyDescent="0.3">
      <c r="A300" s="2" t="s">
        <v>549</v>
      </c>
      <c r="B300" s="2" t="s">
        <v>43</v>
      </c>
      <c r="C300" s="2" t="s">
        <v>307</v>
      </c>
      <c r="D300" s="2" t="s">
        <v>45</v>
      </c>
      <c r="E300" s="2" t="s">
        <v>46</v>
      </c>
      <c r="F300" s="2">
        <v>2751</v>
      </c>
      <c r="G300" s="2">
        <v>33</v>
      </c>
      <c r="H300" s="2">
        <v>430</v>
      </c>
      <c r="I300" s="2">
        <v>44016</v>
      </c>
      <c r="J300" s="2">
        <v>43415</v>
      </c>
      <c r="K300" s="2">
        <v>129</v>
      </c>
      <c r="L300" s="2" t="s">
        <v>62</v>
      </c>
      <c r="N300">
        <f t="shared" si="4"/>
        <v>3214</v>
      </c>
    </row>
    <row r="301" spans="1:14" ht="15.75" customHeight="1" x14ac:dyDescent="0.3">
      <c r="A301" s="2" t="s">
        <v>553</v>
      </c>
      <c r="B301" s="2" t="s">
        <v>43</v>
      </c>
      <c r="C301" s="2" t="s">
        <v>554</v>
      </c>
      <c r="D301" s="2" t="s">
        <v>22</v>
      </c>
      <c r="E301" s="2" t="s">
        <v>56</v>
      </c>
      <c r="F301" s="2">
        <v>880</v>
      </c>
      <c r="G301" s="2">
        <v>297</v>
      </c>
      <c r="H301" s="2">
        <v>345</v>
      </c>
      <c r="I301" s="2">
        <v>12320</v>
      </c>
      <c r="J301" s="2">
        <v>11978</v>
      </c>
      <c r="K301" s="2">
        <v>238</v>
      </c>
      <c r="L301" s="2" t="s">
        <v>95</v>
      </c>
      <c r="N301">
        <f t="shared" si="4"/>
        <v>1522</v>
      </c>
    </row>
    <row r="302" spans="1:14" ht="15.75" customHeight="1" x14ac:dyDescent="0.3"/>
    <row r="303" spans="1:14" ht="15.75" customHeight="1" x14ac:dyDescent="0.3"/>
    <row r="304" spans="1:1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0"/>
  <sheetViews>
    <sheetView topLeftCell="B178" zoomScale="120" zoomScaleNormal="120" workbookViewId="0">
      <selection activeCell="H1" sqref="A1:I201"/>
    </sheetView>
  </sheetViews>
  <sheetFormatPr defaultColWidth="14.44140625" defaultRowHeight="15" customHeight="1" x14ac:dyDescent="0.3"/>
  <cols>
    <col min="1" max="1" width="26.77734375" customWidth="1"/>
    <col min="2" max="2" width="18.44140625" customWidth="1"/>
    <col min="3" max="3" width="15" customWidth="1"/>
    <col min="4" max="4" width="15.6640625" customWidth="1"/>
    <col min="5" max="5" width="16.109375" customWidth="1"/>
    <col min="6" max="6" width="20.77734375" customWidth="1"/>
    <col min="7" max="7" width="12.6640625" customWidth="1"/>
    <col min="8" max="8" width="17.109375" customWidth="1"/>
    <col min="9" max="9" width="23.33203125" customWidth="1"/>
    <col min="10" max="10" width="20.44140625" customWidth="1"/>
    <col min="11" max="11" width="22.77734375" customWidth="1"/>
    <col min="12" max="12" width="10" customWidth="1"/>
    <col min="13" max="13" width="14.77734375" customWidth="1"/>
    <col min="14" max="14" width="23" customWidth="1"/>
    <col min="15" max="26" width="8.6640625" customWidth="1"/>
  </cols>
  <sheetData>
    <row r="1" spans="1:13" ht="14.4" x14ac:dyDescent="0.3">
      <c r="A1" s="1" t="s">
        <v>567</v>
      </c>
      <c r="B1" s="1" t="s">
        <v>1</v>
      </c>
      <c r="C1" s="1" t="s">
        <v>568</v>
      </c>
      <c r="D1" s="1" t="s">
        <v>569</v>
      </c>
      <c r="E1" s="1" t="s">
        <v>570</v>
      </c>
      <c r="F1" s="1" t="s">
        <v>571</v>
      </c>
      <c r="G1" s="5" t="s">
        <v>572</v>
      </c>
      <c r="H1" s="15" t="s">
        <v>625</v>
      </c>
      <c r="I1" s="13" t="s">
        <v>626</v>
      </c>
    </row>
    <row r="2" spans="1:13" ht="14.4" x14ac:dyDescent="0.3">
      <c r="A2" s="3" t="s">
        <v>232</v>
      </c>
      <c r="B2" s="3" t="s">
        <v>33</v>
      </c>
      <c r="C2" s="3">
        <v>1135</v>
      </c>
      <c r="D2" s="3">
        <v>88</v>
      </c>
      <c r="E2" s="3">
        <v>344084</v>
      </c>
      <c r="F2" s="3">
        <v>8.06</v>
      </c>
      <c r="G2" s="3">
        <v>5904</v>
      </c>
      <c r="H2" s="16">
        <f>C2-D2</f>
        <v>1047</v>
      </c>
      <c r="I2" s="19">
        <f t="shared" ref="I2:I33" si="0">CORREL(G2:G201, H2:H201)</f>
        <v>8.5932221904422137E-2</v>
      </c>
    </row>
    <row r="3" spans="1:13" ht="14.4" x14ac:dyDescent="0.3">
      <c r="A3" s="3" t="s">
        <v>232</v>
      </c>
      <c r="B3" s="3" t="s">
        <v>43</v>
      </c>
      <c r="C3" s="3">
        <v>1312</v>
      </c>
      <c r="D3" s="3">
        <v>310</v>
      </c>
      <c r="E3" s="3">
        <v>42654</v>
      </c>
      <c r="F3" s="3">
        <v>4.9800000000000004</v>
      </c>
      <c r="G3" s="3">
        <v>9566</v>
      </c>
      <c r="H3" s="16">
        <f t="shared" ref="H3:H66" si="1">C3-D3</f>
        <v>1002</v>
      </c>
      <c r="I3" s="19">
        <f t="shared" si="0"/>
        <v>8.9102270635965625E-2</v>
      </c>
    </row>
    <row r="4" spans="1:13" ht="14.4" x14ac:dyDescent="0.3">
      <c r="A4" s="3" t="s">
        <v>232</v>
      </c>
      <c r="B4" s="3" t="s">
        <v>14</v>
      </c>
      <c r="C4" s="3">
        <v>584</v>
      </c>
      <c r="D4" s="3">
        <v>169</v>
      </c>
      <c r="E4" s="3">
        <v>146834</v>
      </c>
      <c r="F4" s="3">
        <v>8.31</v>
      </c>
      <c r="G4" s="3">
        <v>26752</v>
      </c>
      <c r="H4" s="16">
        <f t="shared" si="1"/>
        <v>415</v>
      </c>
      <c r="I4" s="19">
        <f t="shared" si="0"/>
        <v>9.1212124456758012E-2</v>
      </c>
    </row>
    <row r="5" spans="1:13" ht="14.4" x14ac:dyDescent="0.3">
      <c r="A5" s="3" t="s">
        <v>232</v>
      </c>
      <c r="B5" s="3" t="s">
        <v>27</v>
      </c>
      <c r="C5" s="3">
        <v>1535</v>
      </c>
      <c r="D5" s="3">
        <v>445</v>
      </c>
      <c r="E5" s="3">
        <v>395536</v>
      </c>
      <c r="F5" s="3">
        <v>4.1100000000000003</v>
      </c>
      <c r="G5" s="3">
        <v>30671</v>
      </c>
      <c r="H5" s="16">
        <f t="shared" si="1"/>
        <v>1090</v>
      </c>
      <c r="I5" s="19">
        <f t="shared" si="0"/>
        <v>9.1886474533133991E-2</v>
      </c>
    </row>
    <row r="6" spans="1:13" ht="14.4" x14ac:dyDescent="0.3">
      <c r="A6" s="3" t="s">
        <v>151</v>
      </c>
      <c r="B6" s="3" t="s">
        <v>33</v>
      </c>
      <c r="C6" s="3">
        <v>656</v>
      </c>
      <c r="D6" s="3">
        <v>139</v>
      </c>
      <c r="E6" s="3">
        <v>49157</v>
      </c>
      <c r="F6" s="3">
        <v>9.0500000000000007</v>
      </c>
      <c r="G6" s="3">
        <v>9920</v>
      </c>
      <c r="H6" s="16">
        <f t="shared" si="1"/>
        <v>517</v>
      </c>
      <c r="I6" s="19">
        <f t="shared" si="0"/>
        <v>9.0856666309084871E-2</v>
      </c>
    </row>
    <row r="7" spans="1:13" ht="14.4" x14ac:dyDescent="0.3">
      <c r="A7" s="3" t="s">
        <v>151</v>
      </c>
      <c r="B7" s="3" t="s">
        <v>43</v>
      </c>
      <c r="C7" s="3">
        <v>1697</v>
      </c>
      <c r="D7" s="3">
        <v>414</v>
      </c>
      <c r="E7" s="3">
        <v>316555</v>
      </c>
      <c r="F7" s="3">
        <v>2.37</v>
      </c>
      <c r="G7" s="3">
        <v>7924</v>
      </c>
      <c r="H7" s="16">
        <f t="shared" si="1"/>
        <v>1283</v>
      </c>
      <c r="I7" s="19">
        <f t="shared" si="0"/>
        <v>8.865531835583175E-2</v>
      </c>
    </row>
    <row r="8" spans="1:13" ht="14.4" x14ac:dyDescent="0.3">
      <c r="A8" s="3" t="s">
        <v>151</v>
      </c>
      <c r="B8" s="3" t="s">
        <v>14</v>
      </c>
      <c r="C8" s="3">
        <v>436</v>
      </c>
      <c r="D8" s="3">
        <v>250</v>
      </c>
      <c r="E8" s="3">
        <v>254347</v>
      </c>
      <c r="F8" s="3">
        <v>4.01</v>
      </c>
      <c r="G8" s="3">
        <v>8912</v>
      </c>
      <c r="H8" s="16">
        <f t="shared" si="1"/>
        <v>186</v>
      </c>
      <c r="I8" s="19">
        <f t="shared" si="0"/>
        <v>9.4056004406129559E-2</v>
      </c>
      <c r="L8" s="12"/>
      <c r="M8" s="4"/>
    </row>
    <row r="9" spans="1:13" ht="14.4" x14ac:dyDescent="0.3">
      <c r="A9" s="3" t="s">
        <v>151</v>
      </c>
      <c r="B9" s="3" t="s">
        <v>27</v>
      </c>
      <c r="C9" s="3">
        <v>1197</v>
      </c>
      <c r="D9" s="3">
        <v>203</v>
      </c>
      <c r="E9" s="3">
        <v>413878</v>
      </c>
      <c r="F9" s="3">
        <v>3.16</v>
      </c>
      <c r="G9" s="3">
        <v>21205</v>
      </c>
      <c r="H9" s="16">
        <f t="shared" si="1"/>
        <v>994</v>
      </c>
      <c r="I9" s="19">
        <f t="shared" si="0"/>
        <v>8.8677224828049239E-2</v>
      </c>
    </row>
    <row r="10" spans="1:13" ht="14.4" x14ac:dyDescent="0.3">
      <c r="A10" s="3" t="s">
        <v>164</v>
      </c>
      <c r="B10" s="3" t="s">
        <v>33</v>
      </c>
      <c r="C10" s="3">
        <v>1048</v>
      </c>
      <c r="D10" s="3">
        <v>155</v>
      </c>
      <c r="E10" s="3">
        <v>456946</v>
      </c>
      <c r="F10" s="3">
        <v>2.46</v>
      </c>
      <c r="G10" s="3">
        <v>11329</v>
      </c>
      <c r="H10" s="16">
        <f t="shared" si="1"/>
        <v>893</v>
      </c>
      <c r="I10" s="19">
        <f t="shared" si="0"/>
        <v>8.9115443113524886E-2</v>
      </c>
    </row>
    <row r="11" spans="1:13" ht="14.4" x14ac:dyDescent="0.3">
      <c r="A11" s="3" t="s">
        <v>164</v>
      </c>
      <c r="B11" s="3" t="s">
        <v>43</v>
      </c>
      <c r="C11" s="3">
        <v>1753</v>
      </c>
      <c r="D11" s="3">
        <v>371</v>
      </c>
      <c r="E11" s="3">
        <v>169496</v>
      </c>
      <c r="F11" s="3">
        <v>8.11</v>
      </c>
      <c r="G11" s="3">
        <v>46670</v>
      </c>
      <c r="H11" s="16">
        <f t="shared" si="1"/>
        <v>1382</v>
      </c>
      <c r="I11" s="19">
        <f t="shared" si="0"/>
        <v>9.0102873087760008E-2</v>
      </c>
    </row>
    <row r="12" spans="1:13" ht="14.4" x14ac:dyDescent="0.3">
      <c r="A12" s="3" t="s">
        <v>164</v>
      </c>
      <c r="B12" s="3" t="s">
        <v>14</v>
      </c>
      <c r="C12" s="3">
        <v>1335</v>
      </c>
      <c r="D12" s="3">
        <v>40</v>
      </c>
      <c r="E12" s="3">
        <v>122732</v>
      </c>
      <c r="F12" s="3">
        <v>8.19</v>
      </c>
      <c r="G12" s="3">
        <v>22482</v>
      </c>
      <c r="H12" s="16">
        <f t="shared" si="1"/>
        <v>1295</v>
      </c>
      <c r="I12" s="19">
        <f t="shared" si="0"/>
        <v>8.2794238151386174E-2</v>
      </c>
    </row>
    <row r="13" spans="1:13" ht="14.4" x14ac:dyDescent="0.3">
      <c r="A13" s="3" t="s">
        <v>164</v>
      </c>
      <c r="B13" s="3" t="s">
        <v>27</v>
      </c>
      <c r="C13" s="3">
        <v>403</v>
      </c>
      <c r="D13" s="3">
        <v>66</v>
      </c>
      <c r="E13" s="3">
        <v>382851</v>
      </c>
      <c r="F13" s="3">
        <v>3.49</v>
      </c>
      <c r="G13" s="3">
        <v>24313</v>
      </c>
      <c r="H13" s="16">
        <f t="shared" si="1"/>
        <v>337</v>
      </c>
      <c r="I13" s="19">
        <f t="shared" si="0"/>
        <v>8.3586096464207074E-2</v>
      </c>
    </row>
    <row r="14" spans="1:13" ht="14.4" x14ac:dyDescent="0.3">
      <c r="A14" s="3" t="s">
        <v>48</v>
      </c>
      <c r="B14" s="3" t="s">
        <v>33</v>
      </c>
      <c r="C14" s="3">
        <v>911</v>
      </c>
      <c r="D14" s="3">
        <v>282</v>
      </c>
      <c r="E14" s="3">
        <v>35664</v>
      </c>
      <c r="F14" s="3">
        <v>6.92</v>
      </c>
      <c r="G14" s="3">
        <v>18050</v>
      </c>
      <c r="H14" s="16">
        <f t="shared" si="1"/>
        <v>629</v>
      </c>
      <c r="I14" s="19">
        <f t="shared" si="0"/>
        <v>8.3658353664528576E-2</v>
      </c>
    </row>
    <row r="15" spans="1:13" ht="14.4" x14ac:dyDescent="0.3">
      <c r="A15" s="3" t="s">
        <v>48</v>
      </c>
      <c r="B15" s="3" t="s">
        <v>43</v>
      </c>
      <c r="C15" s="3">
        <v>1779</v>
      </c>
      <c r="D15" s="3">
        <v>109</v>
      </c>
      <c r="E15" s="3">
        <v>26295</v>
      </c>
      <c r="F15" s="3">
        <v>9.1199999999999992</v>
      </c>
      <c r="G15" s="3">
        <v>30635</v>
      </c>
      <c r="H15" s="16">
        <f t="shared" si="1"/>
        <v>1670</v>
      </c>
      <c r="I15" s="19">
        <f t="shared" si="0"/>
        <v>8.3037861291417159E-2</v>
      </c>
    </row>
    <row r="16" spans="1:13" ht="14.4" x14ac:dyDescent="0.3">
      <c r="A16" s="3" t="s">
        <v>48</v>
      </c>
      <c r="B16" s="3" t="s">
        <v>14</v>
      </c>
      <c r="C16" s="3">
        <v>1238</v>
      </c>
      <c r="D16" s="3">
        <v>403</v>
      </c>
      <c r="E16" s="3">
        <v>298421</v>
      </c>
      <c r="F16" s="3">
        <v>3.5</v>
      </c>
      <c r="G16" s="3">
        <v>31280</v>
      </c>
      <c r="H16" s="16">
        <f t="shared" si="1"/>
        <v>835</v>
      </c>
      <c r="I16" s="19">
        <f t="shared" si="0"/>
        <v>8.0148636295171355E-2</v>
      </c>
    </row>
    <row r="17" spans="1:10" ht="14.4" x14ac:dyDescent="0.3">
      <c r="A17" s="3" t="s">
        <v>48</v>
      </c>
      <c r="B17" s="3" t="s">
        <v>27</v>
      </c>
      <c r="C17" s="3">
        <v>308</v>
      </c>
      <c r="D17" s="3">
        <v>431</v>
      </c>
      <c r="E17" s="3">
        <v>426184</v>
      </c>
      <c r="F17" s="3">
        <v>2.62</v>
      </c>
      <c r="G17" s="3">
        <v>1783</v>
      </c>
      <c r="H17" s="16">
        <f t="shared" si="1"/>
        <v>-123</v>
      </c>
      <c r="I17" s="19">
        <f t="shared" si="0"/>
        <v>8.001518954301623E-2</v>
      </c>
    </row>
    <row r="18" spans="1:10" ht="14.4" x14ac:dyDescent="0.3">
      <c r="A18" s="3" t="s">
        <v>455</v>
      </c>
      <c r="B18" s="3" t="s">
        <v>33</v>
      </c>
      <c r="C18" s="3">
        <v>226</v>
      </c>
      <c r="D18" s="3">
        <v>445</v>
      </c>
      <c r="E18" s="3">
        <v>419447</v>
      </c>
      <c r="F18" s="3">
        <v>9.36</v>
      </c>
      <c r="G18" s="3">
        <v>9566</v>
      </c>
      <c r="H18" s="16">
        <f t="shared" si="1"/>
        <v>-219</v>
      </c>
      <c r="I18" s="19">
        <f t="shared" si="0"/>
        <v>6.763179480652419E-2</v>
      </c>
    </row>
    <row r="19" spans="1:10" ht="14.4" x14ac:dyDescent="0.3">
      <c r="A19" s="3" t="s">
        <v>455</v>
      </c>
      <c r="B19" s="3" t="s">
        <v>43</v>
      </c>
      <c r="C19" s="3">
        <v>505</v>
      </c>
      <c r="D19" s="3">
        <v>441</v>
      </c>
      <c r="E19" s="3">
        <v>220020</v>
      </c>
      <c r="F19" s="3">
        <v>4.4800000000000004</v>
      </c>
      <c r="G19" s="3">
        <v>42307</v>
      </c>
      <c r="H19" s="16">
        <f t="shared" si="1"/>
        <v>64</v>
      </c>
      <c r="I19" s="19">
        <f t="shared" si="0"/>
        <v>5.8368231661206499E-2</v>
      </c>
    </row>
    <row r="20" spans="1:10" ht="14.4" x14ac:dyDescent="0.3">
      <c r="A20" s="3" t="s">
        <v>455</v>
      </c>
      <c r="B20" s="3" t="s">
        <v>14</v>
      </c>
      <c r="C20" s="3">
        <v>1420</v>
      </c>
      <c r="D20" s="3">
        <v>63</v>
      </c>
      <c r="E20" s="3">
        <v>315305</v>
      </c>
      <c r="F20" s="3">
        <v>6.19</v>
      </c>
      <c r="G20" s="3">
        <v>5914</v>
      </c>
      <c r="H20" s="16">
        <f t="shared" si="1"/>
        <v>1357</v>
      </c>
      <c r="I20" s="19">
        <f t="shared" si="0"/>
        <v>6.7481801195588817E-2</v>
      </c>
    </row>
    <row r="21" spans="1:10" ht="15.75" customHeight="1" x14ac:dyDescent="0.3">
      <c r="A21" s="3" t="s">
        <v>455</v>
      </c>
      <c r="B21" s="3" t="s">
        <v>27</v>
      </c>
      <c r="C21" s="3">
        <v>144</v>
      </c>
      <c r="D21" s="3">
        <v>53</v>
      </c>
      <c r="E21" s="3">
        <v>113678</v>
      </c>
      <c r="F21" s="3">
        <v>8.7200000000000006</v>
      </c>
      <c r="G21" s="3">
        <v>30060</v>
      </c>
      <c r="H21" s="16">
        <f t="shared" si="1"/>
        <v>91</v>
      </c>
      <c r="I21" s="20">
        <f t="shared" si="0"/>
        <v>7.4820309053904466E-2</v>
      </c>
      <c r="J21" s="4"/>
    </row>
    <row r="22" spans="1:10" ht="15.75" customHeight="1" x14ac:dyDescent="0.3">
      <c r="A22" s="3" t="s">
        <v>573</v>
      </c>
      <c r="B22" s="3" t="s">
        <v>33</v>
      </c>
      <c r="C22" s="3">
        <v>1757</v>
      </c>
      <c r="D22" s="3">
        <v>85</v>
      </c>
      <c r="E22" s="3">
        <v>58223</v>
      </c>
      <c r="F22" s="3">
        <v>8.74</v>
      </c>
      <c r="G22" s="3">
        <v>22728</v>
      </c>
      <c r="H22" s="16">
        <f t="shared" si="1"/>
        <v>1672</v>
      </c>
      <c r="I22" s="20">
        <f t="shared" si="0"/>
        <v>7.771134567289123E-2</v>
      </c>
      <c r="J22" s="4"/>
    </row>
    <row r="23" spans="1:10" ht="15.75" customHeight="1" x14ac:dyDescent="0.3">
      <c r="A23" s="3" t="s">
        <v>573</v>
      </c>
      <c r="B23" s="3" t="s">
        <v>43</v>
      </c>
      <c r="C23" s="3">
        <v>350</v>
      </c>
      <c r="D23" s="3">
        <v>41</v>
      </c>
      <c r="E23" s="3">
        <v>251694</v>
      </c>
      <c r="F23" s="3">
        <v>1.91</v>
      </c>
      <c r="G23" s="3">
        <v>38610</v>
      </c>
      <c r="H23" s="16">
        <f t="shared" si="1"/>
        <v>309</v>
      </c>
      <c r="I23" s="20">
        <f t="shared" si="0"/>
        <v>7.9294062481159097E-2</v>
      </c>
      <c r="J23" s="4"/>
    </row>
    <row r="24" spans="1:10" ht="15.75" customHeight="1" x14ac:dyDescent="0.3">
      <c r="A24" s="3" t="s">
        <v>573</v>
      </c>
      <c r="B24" s="3" t="s">
        <v>14</v>
      </c>
      <c r="C24" s="3">
        <v>987</v>
      </c>
      <c r="D24" s="3">
        <v>440</v>
      </c>
      <c r="E24" s="3">
        <v>389810</v>
      </c>
      <c r="F24" s="3">
        <v>4.66</v>
      </c>
      <c r="G24" s="3">
        <v>2932</v>
      </c>
      <c r="H24" s="16">
        <f t="shared" si="1"/>
        <v>547</v>
      </c>
      <c r="I24" s="20">
        <f t="shared" si="0"/>
        <v>8.4326248022458181E-2</v>
      </c>
      <c r="J24" s="4"/>
    </row>
    <row r="25" spans="1:10" ht="15.75" customHeight="1" x14ac:dyDescent="0.3">
      <c r="A25" s="3" t="s">
        <v>573</v>
      </c>
      <c r="B25" s="3" t="s">
        <v>27</v>
      </c>
      <c r="C25" s="3">
        <v>883</v>
      </c>
      <c r="D25" s="3">
        <v>369</v>
      </c>
      <c r="E25" s="3">
        <v>233694</v>
      </c>
      <c r="F25" s="3">
        <v>2.88</v>
      </c>
      <c r="G25" s="3">
        <v>15071</v>
      </c>
      <c r="H25" s="16">
        <f t="shared" si="1"/>
        <v>514</v>
      </c>
      <c r="I25" s="19">
        <f t="shared" si="0"/>
        <v>8.1132791213953379E-2</v>
      </c>
    </row>
    <row r="26" spans="1:10" ht="15.75" customHeight="1" x14ac:dyDescent="0.3">
      <c r="A26" s="3" t="s">
        <v>315</v>
      </c>
      <c r="B26" s="3" t="s">
        <v>33</v>
      </c>
      <c r="C26" s="3">
        <v>1960</v>
      </c>
      <c r="D26" s="3">
        <v>115</v>
      </c>
      <c r="E26" s="3">
        <v>154169</v>
      </c>
      <c r="F26" s="3">
        <v>3.74</v>
      </c>
      <c r="G26" s="3">
        <v>10740</v>
      </c>
      <c r="H26" s="16">
        <f t="shared" si="1"/>
        <v>1845</v>
      </c>
      <c r="I26" s="19">
        <f t="shared" si="0"/>
        <v>7.9370878806985942E-2</v>
      </c>
    </row>
    <row r="27" spans="1:10" ht="15.75" customHeight="1" x14ac:dyDescent="0.3">
      <c r="A27" s="3" t="s">
        <v>315</v>
      </c>
      <c r="B27" s="3" t="s">
        <v>43</v>
      </c>
      <c r="C27" s="3">
        <v>170</v>
      </c>
      <c r="D27" s="3">
        <v>334</v>
      </c>
      <c r="E27" s="3">
        <v>334626</v>
      </c>
      <c r="F27" s="3">
        <v>6.44</v>
      </c>
      <c r="G27" s="3">
        <v>43420</v>
      </c>
      <c r="H27" s="16">
        <f t="shared" si="1"/>
        <v>-164</v>
      </c>
      <c r="I27" s="19">
        <f t="shared" si="0"/>
        <v>9.032750334421373E-2</v>
      </c>
    </row>
    <row r="28" spans="1:10" ht="15.75" customHeight="1" x14ac:dyDescent="0.3">
      <c r="A28" s="3" t="s">
        <v>315</v>
      </c>
      <c r="B28" s="3" t="s">
        <v>14</v>
      </c>
      <c r="C28" s="3">
        <v>704</v>
      </c>
      <c r="D28" s="3">
        <v>275</v>
      </c>
      <c r="E28" s="3">
        <v>226002</v>
      </c>
      <c r="F28" s="3">
        <v>8.56</v>
      </c>
      <c r="G28" s="3">
        <v>32393</v>
      </c>
      <c r="H28" s="16">
        <f t="shared" si="1"/>
        <v>429</v>
      </c>
      <c r="I28" s="19">
        <f t="shared" si="0"/>
        <v>0.10404743756122463</v>
      </c>
    </row>
    <row r="29" spans="1:10" ht="15.75" customHeight="1" x14ac:dyDescent="0.3">
      <c r="A29" s="3" t="s">
        <v>315</v>
      </c>
      <c r="B29" s="3" t="s">
        <v>27</v>
      </c>
      <c r="C29" s="3">
        <v>224</v>
      </c>
      <c r="D29" s="3">
        <v>64</v>
      </c>
      <c r="E29" s="3">
        <v>156683</v>
      </c>
      <c r="F29" s="3">
        <v>4.5599999999999996</v>
      </c>
      <c r="G29" s="3">
        <v>28474</v>
      </c>
      <c r="H29" s="16">
        <f t="shared" si="1"/>
        <v>160</v>
      </c>
      <c r="I29" s="19">
        <f t="shared" si="0"/>
        <v>0.10629722760630464</v>
      </c>
    </row>
    <row r="30" spans="1:10" ht="15.75" customHeight="1" x14ac:dyDescent="0.3">
      <c r="A30" s="3" t="s">
        <v>574</v>
      </c>
      <c r="B30" s="3" t="s">
        <v>33</v>
      </c>
      <c r="C30" s="3">
        <v>508</v>
      </c>
      <c r="D30" s="3">
        <v>349</v>
      </c>
      <c r="E30" s="3">
        <v>473812</v>
      </c>
      <c r="F30" s="3">
        <v>7.88</v>
      </c>
      <c r="G30" s="3">
        <v>17328</v>
      </c>
      <c r="H30" s="16">
        <f t="shared" si="1"/>
        <v>159</v>
      </c>
      <c r="I30" s="19">
        <f t="shared" si="0"/>
        <v>0.10842349134676513</v>
      </c>
    </row>
    <row r="31" spans="1:10" ht="15.75" customHeight="1" x14ac:dyDescent="0.3">
      <c r="A31" s="3" t="s">
        <v>574</v>
      </c>
      <c r="B31" s="3" t="s">
        <v>43</v>
      </c>
      <c r="C31" s="3">
        <v>1391</v>
      </c>
      <c r="D31" s="3">
        <v>430</v>
      </c>
      <c r="E31" s="3">
        <v>295032</v>
      </c>
      <c r="F31" s="3">
        <v>7.86</v>
      </c>
      <c r="G31" s="3">
        <v>26067</v>
      </c>
      <c r="H31" s="16">
        <f t="shared" si="1"/>
        <v>961</v>
      </c>
      <c r="I31" s="19">
        <f t="shared" si="0"/>
        <v>0.10549951840450117</v>
      </c>
    </row>
    <row r="32" spans="1:10" ht="15.75" customHeight="1" x14ac:dyDescent="0.3">
      <c r="A32" s="3" t="s">
        <v>574</v>
      </c>
      <c r="B32" s="3" t="s">
        <v>14</v>
      </c>
      <c r="C32" s="3">
        <v>1701</v>
      </c>
      <c r="D32" s="3">
        <v>385</v>
      </c>
      <c r="E32" s="3">
        <v>198278</v>
      </c>
      <c r="F32" s="3">
        <v>5.34</v>
      </c>
      <c r="G32" s="3">
        <v>32763</v>
      </c>
      <c r="H32" s="16">
        <f t="shared" si="1"/>
        <v>1316</v>
      </c>
      <c r="I32" s="19">
        <f t="shared" si="0"/>
        <v>0.10538365706194641</v>
      </c>
    </row>
    <row r="33" spans="1:9" ht="15.75" customHeight="1" x14ac:dyDescent="0.3">
      <c r="A33" s="3" t="s">
        <v>574</v>
      </c>
      <c r="B33" s="3" t="s">
        <v>27</v>
      </c>
      <c r="C33" s="3">
        <v>804</v>
      </c>
      <c r="D33" s="3">
        <v>487</v>
      </c>
      <c r="E33" s="3">
        <v>306564</v>
      </c>
      <c r="F33" s="3">
        <v>5.52</v>
      </c>
      <c r="G33" s="3">
        <v>26452</v>
      </c>
      <c r="H33" s="16">
        <f t="shared" si="1"/>
        <v>317</v>
      </c>
      <c r="I33" s="19">
        <f t="shared" si="0"/>
        <v>0.10285638976945223</v>
      </c>
    </row>
    <row r="34" spans="1:9" ht="15.75" customHeight="1" x14ac:dyDescent="0.3">
      <c r="A34" s="3" t="s">
        <v>268</v>
      </c>
      <c r="B34" s="3" t="s">
        <v>33</v>
      </c>
      <c r="C34" s="3">
        <v>653</v>
      </c>
      <c r="D34" s="3">
        <v>112</v>
      </c>
      <c r="E34" s="3">
        <v>23664</v>
      </c>
      <c r="F34" s="3">
        <v>4.05</v>
      </c>
      <c r="G34" s="3">
        <v>15353</v>
      </c>
      <c r="H34" s="16">
        <f t="shared" si="1"/>
        <v>541</v>
      </c>
      <c r="I34" s="19">
        <f t="shared" ref="I34:I65" si="2">CORREL(G34:G233, H34:H233)</f>
        <v>0.10370978969754777</v>
      </c>
    </row>
    <row r="35" spans="1:9" ht="15.75" customHeight="1" x14ac:dyDescent="0.3">
      <c r="A35" s="3" t="s">
        <v>268</v>
      </c>
      <c r="B35" s="3" t="s">
        <v>43</v>
      </c>
      <c r="C35" s="3">
        <v>160</v>
      </c>
      <c r="D35" s="3">
        <v>478</v>
      </c>
      <c r="E35" s="3">
        <v>435034</v>
      </c>
      <c r="F35" s="3">
        <v>7.73</v>
      </c>
      <c r="G35" s="3">
        <v>4839</v>
      </c>
      <c r="H35" s="16">
        <f t="shared" si="1"/>
        <v>-318</v>
      </c>
      <c r="I35" s="19">
        <f t="shared" si="2"/>
        <v>0.10208301237884976</v>
      </c>
    </row>
    <row r="36" spans="1:9" ht="15.75" customHeight="1" x14ac:dyDescent="0.3">
      <c r="A36" s="3" t="s">
        <v>268</v>
      </c>
      <c r="B36" s="3" t="s">
        <v>14</v>
      </c>
      <c r="C36" s="3">
        <v>1756</v>
      </c>
      <c r="D36" s="3">
        <v>261</v>
      </c>
      <c r="E36" s="3">
        <v>287574</v>
      </c>
      <c r="F36" s="3">
        <v>4.3600000000000003</v>
      </c>
      <c r="G36" s="3">
        <v>39272</v>
      </c>
      <c r="H36" s="16">
        <f t="shared" si="1"/>
        <v>1495</v>
      </c>
      <c r="I36" s="19">
        <f t="shared" si="2"/>
        <v>8.7476871008236506E-2</v>
      </c>
    </row>
    <row r="37" spans="1:9" ht="15.75" customHeight="1" x14ac:dyDescent="0.3">
      <c r="A37" s="3" t="s">
        <v>268</v>
      </c>
      <c r="B37" s="3" t="s">
        <v>27</v>
      </c>
      <c r="C37" s="3">
        <v>576</v>
      </c>
      <c r="D37" s="3">
        <v>101</v>
      </c>
      <c r="E37" s="3">
        <v>62499</v>
      </c>
      <c r="F37" s="3">
        <v>3.48</v>
      </c>
      <c r="G37" s="3">
        <v>16804</v>
      </c>
      <c r="H37" s="16">
        <f t="shared" si="1"/>
        <v>475</v>
      </c>
      <c r="I37" s="19">
        <f t="shared" si="2"/>
        <v>8.1042939538868708E-2</v>
      </c>
    </row>
    <row r="38" spans="1:9" ht="15.75" customHeight="1" x14ac:dyDescent="0.3">
      <c r="A38" s="3" t="s">
        <v>501</v>
      </c>
      <c r="B38" s="3" t="s">
        <v>33</v>
      </c>
      <c r="C38" s="3">
        <v>645</v>
      </c>
      <c r="D38" s="3">
        <v>293</v>
      </c>
      <c r="E38" s="3">
        <v>437968</v>
      </c>
      <c r="F38" s="3">
        <v>7.83</v>
      </c>
      <c r="G38" s="3">
        <v>49303</v>
      </c>
      <c r="H38" s="16">
        <f t="shared" si="1"/>
        <v>352</v>
      </c>
      <c r="I38" s="19">
        <f t="shared" si="2"/>
        <v>7.9196336063306005E-2</v>
      </c>
    </row>
    <row r="39" spans="1:9" ht="15.75" customHeight="1" x14ac:dyDescent="0.3">
      <c r="A39" s="3" t="s">
        <v>501</v>
      </c>
      <c r="B39" s="3" t="s">
        <v>43</v>
      </c>
      <c r="C39" s="3">
        <v>214</v>
      </c>
      <c r="D39" s="3">
        <v>411</v>
      </c>
      <c r="E39" s="3">
        <v>125034</v>
      </c>
      <c r="F39" s="3">
        <v>6.11</v>
      </c>
      <c r="G39" s="3">
        <v>26455</v>
      </c>
      <c r="H39" s="16">
        <f t="shared" si="1"/>
        <v>-197</v>
      </c>
      <c r="I39" s="19">
        <f t="shared" si="2"/>
        <v>8.8642738366999652E-2</v>
      </c>
    </row>
    <row r="40" spans="1:9" ht="15.75" customHeight="1" x14ac:dyDescent="0.3">
      <c r="A40" s="3" t="s">
        <v>501</v>
      </c>
      <c r="B40" s="3" t="s">
        <v>14</v>
      </c>
      <c r="C40" s="3">
        <v>826</v>
      </c>
      <c r="D40" s="3">
        <v>498</v>
      </c>
      <c r="E40" s="3">
        <v>449994</v>
      </c>
      <c r="F40" s="3">
        <v>9.43</v>
      </c>
      <c r="G40" s="3">
        <v>12384</v>
      </c>
      <c r="H40" s="16">
        <f t="shared" si="1"/>
        <v>328</v>
      </c>
      <c r="I40" s="19">
        <f t="shared" si="2"/>
        <v>9.0864224540070967E-2</v>
      </c>
    </row>
    <row r="41" spans="1:9" ht="15.75" customHeight="1" x14ac:dyDescent="0.3">
      <c r="A41" s="3" t="s">
        <v>501</v>
      </c>
      <c r="B41" s="3" t="s">
        <v>27</v>
      </c>
      <c r="C41" s="3">
        <v>460</v>
      </c>
      <c r="D41" s="3">
        <v>141</v>
      </c>
      <c r="E41" s="3">
        <v>320650</v>
      </c>
      <c r="F41" s="3">
        <v>4.04</v>
      </c>
      <c r="G41" s="3">
        <v>49372</v>
      </c>
      <c r="H41" s="16">
        <f t="shared" si="1"/>
        <v>319</v>
      </c>
      <c r="I41" s="19">
        <f t="shared" si="2"/>
        <v>8.6652444907197076E-2</v>
      </c>
    </row>
    <row r="42" spans="1:9" ht="15.75" customHeight="1" x14ac:dyDescent="0.3">
      <c r="A42" s="3" t="s">
        <v>34</v>
      </c>
      <c r="B42" s="3" t="s">
        <v>33</v>
      </c>
      <c r="C42" s="3">
        <v>1528</v>
      </c>
      <c r="D42" s="3">
        <v>203</v>
      </c>
      <c r="E42" s="3">
        <v>489188</v>
      </c>
      <c r="F42" s="3">
        <v>6.23</v>
      </c>
      <c r="G42" s="3">
        <v>47101</v>
      </c>
      <c r="H42" s="16">
        <f t="shared" si="1"/>
        <v>1325</v>
      </c>
      <c r="I42" s="19">
        <f t="shared" si="2"/>
        <v>9.7383850529182928E-2</v>
      </c>
    </row>
    <row r="43" spans="1:9" ht="15.75" customHeight="1" x14ac:dyDescent="0.3">
      <c r="A43" s="3" t="s">
        <v>34</v>
      </c>
      <c r="B43" s="3" t="s">
        <v>43</v>
      </c>
      <c r="C43" s="3">
        <v>1534</v>
      </c>
      <c r="D43" s="3">
        <v>200</v>
      </c>
      <c r="E43" s="3">
        <v>307612</v>
      </c>
      <c r="F43" s="3">
        <v>6.01</v>
      </c>
      <c r="G43" s="3">
        <v>37903</v>
      </c>
      <c r="H43" s="16">
        <f t="shared" si="1"/>
        <v>1334</v>
      </c>
      <c r="I43" s="19">
        <f t="shared" si="2"/>
        <v>8.9996353505138418E-2</v>
      </c>
    </row>
    <row r="44" spans="1:9" ht="15.75" customHeight="1" x14ac:dyDescent="0.3">
      <c r="A44" s="3" t="s">
        <v>34</v>
      </c>
      <c r="B44" s="3" t="s">
        <v>14</v>
      </c>
      <c r="C44" s="3">
        <v>485</v>
      </c>
      <c r="D44" s="3">
        <v>448</v>
      </c>
      <c r="E44" s="3">
        <v>434883</v>
      </c>
      <c r="F44" s="3">
        <v>8.5500000000000007</v>
      </c>
      <c r="G44" s="3">
        <v>33258</v>
      </c>
      <c r="H44" s="16">
        <f t="shared" si="1"/>
        <v>37</v>
      </c>
      <c r="I44" s="19">
        <f t="shared" si="2"/>
        <v>8.5288282282407021E-2</v>
      </c>
    </row>
    <row r="45" spans="1:9" ht="15.75" customHeight="1" x14ac:dyDescent="0.3">
      <c r="A45" s="3" t="s">
        <v>34</v>
      </c>
      <c r="B45" s="3" t="s">
        <v>27</v>
      </c>
      <c r="C45" s="3">
        <v>1210</v>
      </c>
      <c r="D45" s="3">
        <v>178</v>
      </c>
      <c r="E45" s="3">
        <v>102042</v>
      </c>
      <c r="F45" s="3">
        <v>5.42</v>
      </c>
      <c r="G45" s="3">
        <v>6915</v>
      </c>
      <c r="H45" s="16">
        <f t="shared" si="1"/>
        <v>1032</v>
      </c>
      <c r="I45" s="19">
        <f t="shared" si="2"/>
        <v>9.1422410059380718E-2</v>
      </c>
    </row>
    <row r="46" spans="1:9" ht="15.75" customHeight="1" x14ac:dyDescent="0.3">
      <c r="A46" s="3" t="s">
        <v>81</v>
      </c>
      <c r="B46" s="3" t="s">
        <v>33</v>
      </c>
      <c r="C46" s="3">
        <v>215</v>
      </c>
      <c r="D46" s="3">
        <v>139</v>
      </c>
      <c r="E46" s="3">
        <v>325444</v>
      </c>
      <c r="F46" s="3">
        <v>3.25</v>
      </c>
      <c r="G46" s="3">
        <v>35501</v>
      </c>
      <c r="H46" s="16">
        <f t="shared" si="1"/>
        <v>76</v>
      </c>
      <c r="I46" s="19">
        <f t="shared" si="2"/>
        <v>9.4530640726689999E-2</v>
      </c>
    </row>
    <row r="47" spans="1:9" ht="15.75" customHeight="1" x14ac:dyDescent="0.3">
      <c r="A47" s="3" t="s">
        <v>81</v>
      </c>
      <c r="B47" s="3" t="s">
        <v>43</v>
      </c>
      <c r="C47" s="3">
        <v>1078</v>
      </c>
      <c r="D47" s="3">
        <v>20</v>
      </c>
      <c r="E47" s="3">
        <v>183924</v>
      </c>
      <c r="F47" s="3">
        <v>8.84</v>
      </c>
      <c r="G47" s="3">
        <v>14203</v>
      </c>
      <c r="H47" s="16">
        <f t="shared" si="1"/>
        <v>1058</v>
      </c>
      <c r="I47" s="19">
        <f t="shared" si="2"/>
        <v>0.10189352868599115</v>
      </c>
    </row>
    <row r="48" spans="1:9" ht="15.75" customHeight="1" x14ac:dyDescent="0.3">
      <c r="A48" s="3" t="s">
        <v>81</v>
      </c>
      <c r="B48" s="3" t="s">
        <v>14</v>
      </c>
      <c r="C48" s="3">
        <v>1751</v>
      </c>
      <c r="D48" s="3">
        <v>86</v>
      </c>
      <c r="E48" s="3">
        <v>188655</v>
      </c>
      <c r="F48" s="3">
        <v>7.24</v>
      </c>
      <c r="G48" s="3">
        <v>22206</v>
      </c>
      <c r="H48" s="16">
        <f t="shared" si="1"/>
        <v>1665</v>
      </c>
      <c r="I48" s="19">
        <f t="shared" si="2"/>
        <v>0.10382976052966604</v>
      </c>
    </row>
    <row r="49" spans="1:9" ht="15.75" customHeight="1" x14ac:dyDescent="0.3">
      <c r="A49" s="3" t="s">
        <v>81</v>
      </c>
      <c r="B49" s="3" t="s">
        <v>27</v>
      </c>
      <c r="C49" s="3">
        <v>221</v>
      </c>
      <c r="D49" s="3">
        <v>31</v>
      </c>
      <c r="E49" s="3">
        <v>87443</v>
      </c>
      <c r="F49" s="3">
        <v>6.19</v>
      </c>
      <c r="G49" s="3">
        <v>10283</v>
      </c>
      <c r="H49" s="16">
        <f t="shared" si="1"/>
        <v>190</v>
      </c>
      <c r="I49" s="19">
        <f t="shared" si="2"/>
        <v>0.10591204685716972</v>
      </c>
    </row>
    <row r="50" spans="1:9" ht="15.75" customHeight="1" x14ac:dyDescent="0.3">
      <c r="A50" s="3" t="s">
        <v>77</v>
      </c>
      <c r="B50" s="3" t="s">
        <v>33</v>
      </c>
      <c r="C50" s="3">
        <v>1685</v>
      </c>
      <c r="D50" s="3">
        <v>76</v>
      </c>
      <c r="E50" s="3">
        <v>453799</v>
      </c>
      <c r="F50" s="3">
        <v>5.71</v>
      </c>
      <c r="G50" s="3">
        <v>24913</v>
      </c>
      <c r="H50" s="16">
        <f t="shared" si="1"/>
        <v>1609</v>
      </c>
      <c r="I50" s="19">
        <f t="shared" si="2"/>
        <v>9.9420124475204555E-2</v>
      </c>
    </row>
    <row r="51" spans="1:9" ht="15.75" customHeight="1" x14ac:dyDescent="0.3">
      <c r="A51" s="3" t="s">
        <v>77</v>
      </c>
      <c r="B51" s="3" t="s">
        <v>43</v>
      </c>
      <c r="C51" s="3">
        <v>248</v>
      </c>
      <c r="D51" s="3">
        <v>211</v>
      </c>
      <c r="E51" s="3">
        <v>379380</v>
      </c>
      <c r="F51" s="3">
        <v>9.0399999999999991</v>
      </c>
      <c r="G51" s="3">
        <v>26925</v>
      </c>
      <c r="H51" s="16">
        <f t="shared" si="1"/>
        <v>37</v>
      </c>
      <c r="I51" s="19">
        <f t="shared" si="2"/>
        <v>9.9711281564714122E-2</v>
      </c>
    </row>
    <row r="52" spans="1:9" ht="15.75" customHeight="1" x14ac:dyDescent="0.3">
      <c r="A52" s="3" t="s">
        <v>77</v>
      </c>
      <c r="B52" s="3" t="s">
        <v>14</v>
      </c>
      <c r="C52" s="3">
        <v>1300</v>
      </c>
      <c r="D52" s="3">
        <v>71</v>
      </c>
      <c r="E52" s="3">
        <v>186454</v>
      </c>
      <c r="F52" s="3">
        <v>3.91</v>
      </c>
      <c r="G52" s="3">
        <v>9942</v>
      </c>
      <c r="H52" s="16">
        <f t="shared" si="1"/>
        <v>1229</v>
      </c>
      <c r="I52" s="19">
        <f t="shared" si="2"/>
        <v>0.1019201429326354</v>
      </c>
    </row>
    <row r="53" spans="1:9" ht="15.75" customHeight="1" x14ac:dyDescent="0.3">
      <c r="A53" s="3" t="s">
        <v>77</v>
      </c>
      <c r="B53" s="3" t="s">
        <v>27</v>
      </c>
      <c r="C53" s="3">
        <v>422</v>
      </c>
      <c r="D53" s="3">
        <v>394</v>
      </c>
      <c r="E53" s="3">
        <v>239044</v>
      </c>
      <c r="F53" s="3">
        <v>7.83</v>
      </c>
      <c r="G53" s="3">
        <v>32929</v>
      </c>
      <c r="H53" s="16">
        <f t="shared" si="1"/>
        <v>28</v>
      </c>
      <c r="I53" s="19">
        <f t="shared" si="2"/>
        <v>0.10702524279792508</v>
      </c>
    </row>
    <row r="54" spans="1:9" ht="15.75" customHeight="1" x14ac:dyDescent="0.3">
      <c r="A54" s="3" t="s">
        <v>195</v>
      </c>
      <c r="B54" s="3" t="s">
        <v>33</v>
      </c>
      <c r="C54" s="3">
        <v>1429</v>
      </c>
      <c r="D54" s="3">
        <v>182</v>
      </c>
      <c r="E54" s="3">
        <v>101332</v>
      </c>
      <c r="F54" s="3">
        <v>7.16</v>
      </c>
      <c r="G54" s="3">
        <v>37829</v>
      </c>
      <c r="H54" s="16">
        <f t="shared" si="1"/>
        <v>1247</v>
      </c>
      <c r="I54" s="19">
        <f t="shared" si="2"/>
        <v>0.11339501214630174</v>
      </c>
    </row>
    <row r="55" spans="1:9" ht="15.75" customHeight="1" x14ac:dyDescent="0.3">
      <c r="A55" s="3" t="s">
        <v>195</v>
      </c>
      <c r="B55" s="3" t="s">
        <v>43</v>
      </c>
      <c r="C55" s="3">
        <v>1520</v>
      </c>
      <c r="D55" s="3">
        <v>475</v>
      </c>
      <c r="E55" s="3">
        <v>496982</v>
      </c>
      <c r="F55" s="3">
        <v>6.41</v>
      </c>
      <c r="G55" s="3">
        <v>24384</v>
      </c>
      <c r="H55" s="16">
        <f t="shared" si="1"/>
        <v>1045</v>
      </c>
      <c r="I55" s="19">
        <f t="shared" si="2"/>
        <v>0.10948396868914069</v>
      </c>
    </row>
    <row r="56" spans="1:9" ht="15.75" customHeight="1" x14ac:dyDescent="0.3">
      <c r="A56" s="3" t="s">
        <v>195</v>
      </c>
      <c r="B56" s="3" t="s">
        <v>14</v>
      </c>
      <c r="C56" s="3">
        <v>557</v>
      </c>
      <c r="D56" s="3">
        <v>360</v>
      </c>
      <c r="E56" s="3">
        <v>318779</v>
      </c>
      <c r="F56" s="3">
        <v>8.02</v>
      </c>
      <c r="G56" s="3">
        <v>25797</v>
      </c>
      <c r="H56" s="16">
        <f t="shared" si="1"/>
        <v>197</v>
      </c>
      <c r="I56" s="19">
        <f t="shared" si="2"/>
        <v>0.10953271480807934</v>
      </c>
    </row>
    <row r="57" spans="1:9" ht="15.75" customHeight="1" x14ac:dyDescent="0.3">
      <c r="A57" s="3" t="s">
        <v>195</v>
      </c>
      <c r="B57" s="3" t="s">
        <v>27</v>
      </c>
      <c r="C57" s="3">
        <v>728</v>
      </c>
      <c r="D57" s="3">
        <v>395</v>
      </c>
      <c r="E57" s="3">
        <v>370971</v>
      </c>
      <c r="F57" s="3">
        <v>3.86</v>
      </c>
      <c r="G57" s="3">
        <v>12646</v>
      </c>
      <c r="H57" s="16">
        <f t="shared" si="1"/>
        <v>333</v>
      </c>
      <c r="I57" s="19">
        <f t="shared" si="2"/>
        <v>0.11072594811727887</v>
      </c>
    </row>
    <row r="58" spans="1:9" ht="15.75" customHeight="1" x14ac:dyDescent="0.3">
      <c r="A58" s="3" t="s">
        <v>87</v>
      </c>
      <c r="B58" s="3" t="s">
        <v>33</v>
      </c>
      <c r="C58" s="3">
        <v>1592</v>
      </c>
      <c r="D58" s="3">
        <v>20</v>
      </c>
      <c r="E58" s="3">
        <v>378054</v>
      </c>
      <c r="F58" s="3">
        <v>9.09</v>
      </c>
      <c r="G58" s="3">
        <v>26663</v>
      </c>
      <c r="H58" s="16">
        <f t="shared" si="1"/>
        <v>1572</v>
      </c>
      <c r="I58" s="19">
        <f t="shared" si="2"/>
        <v>0.10630398813271696</v>
      </c>
    </row>
    <row r="59" spans="1:9" ht="15.75" customHeight="1" x14ac:dyDescent="0.3">
      <c r="A59" s="3" t="s">
        <v>87</v>
      </c>
      <c r="B59" s="3" t="s">
        <v>43</v>
      </c>
      <c r="C59" s="3">
        <v>1842</v>
      </c>
      <c r="D59" s="3">
        <v>414</v>
      </c>
      <c r="E59" s="3">
        <v>307524</v>
      </c>
      <c r="F59" s="3">
        <v>1.76</v>
      </c>
      <c r="G59" s="3">
        <v>40478</v>
      </c>
      <c r="H59" s="16">
        <f t="shared" si="1"/>
        <v>1428</v>
      </c>
      <c r="I59" s="19">
        <f t="shared" si="2"/>
        <v>0.10555341100813151</v>
      </c>
    </row>
    <row r="60" spans="1:9" ht="15.75" customHeight="1" x14ac:dyDescent="0.3">
      <c r="A60" s="3" t="s">
        <v>87</v>
      </c>
      <c r="B60" s="3" t="s">
        <v>14</v>
      </c>
      <c r="C60" s="3">
        <v>751</v>
      </c>
      <c r="D60" s="3">
        <v>491</v>
      </c>
      <c r="E60" s="3">
        <v>434047</v>
      </c>
      <c r="F60" s="3">
        <v>9.24</v>
      </c>
      <c r="G60" s="3">
        <v>15476</v>
      </c>
      <c r="H60" s="16">
        <f t="shared" si="1"/>
        <v>260</v>
      </c>
      <c r="I60" s="19">
        <f t="shared" si="2"/>
        <v>9.8479143799347968E-2</v>
      </c>
    </row>
    <row r="61" spans="1:9" ht="15.75" customHeight="1" x14ac:dyDescent="0.3">
      <c r="A61" s="3" t="s">
        <v>87</v>
      </c>
      <c r="B61" s="3" t="s">
        <v>27</v>
      </c>
      <c r="C61" s="3">
        <v>1409</v>
      </c>
      <c r="D61" s="3">
        <v>309</v>
      </c>
      <c r="E61" s="3">
        <v>64583</v>
      </c>
      <c r="F61" s="3">
        <v>8.99</v>
      </c>
      <c r="G61" s="3">
        <v>10217</v>
      </c>
      <c r="H61" s="16">
        <f t="shared" si="1"/>
        <v>1100</v>
      </c>
      <c r="I61" s="19">
        <f t="shared" si="2"/>
        <v>9.4621643710093489E-2</v>
      </c>
    </row>
    <row r="62" spans="1:9" ht="15.75" customHeight="1" x14ac:dyDescent="0.3">
      <c r="A62" s="3" t="s">
        <v>575</v>
      </c>
      <c r="B62" s="3" t="s">
        <v>33</v>
      </c>
      <c r="C62" s="3">
        <v>778</v>
      </c>
      <c r="D62" s="3">
        <v>401</v>
      </c>
      <c r="E62" s="3">
        <v>50793</v>
      </c>
      <c r="F62" s="3">
        <v>3.4</v>
      </c>
      <c r="G62" s="3">
        <v>21939</v>
      </c>
      <c r="H62" s="16">
        <f t="shared" si="1"/>
        <v>377</v>
      </c>
      <c r="I62" s="19">
        <f t="shared" si="2"/>
        <v>9.8141149586493254E-2</v>
      </c>
    </row>
    <row r="63" spans="1:9" ht="15.75" customHeight="1" x14ac:dyDescent="0.3">
      <c r="A63" s="3" t="s">
        <v>575</v>
      </c>
      <c r="B63" s="3" t="s">
        <v>43</v>
      </c>
      <c r="C63" s="3">
        <v>443</v>
      </c>
      <c r="D63" s="3">
        <v>345</v>
      </c>
      <c r="E63" s="3">
        <v>474162</v>
      </c>
      <c r="F63" s="3">
        <v>9.1999999999999993</v>
      </c>
      <c r="G63" s="3">
        <v>47462</v>
      </c>
      <c r="H63" s="16">
        <f t="shared" si="1"/>
        <v>98</v>
      </c>
      <c r="I63" s="19">
        <f t="shared" si="2"/>
        <v>9.7357799472583703E-2</v>
      </c>
    </row>
    <row r="64" spans="1:9" ht="15.75" customHeight="1" x14ac:dyDescent="0.3">
      <c r="A64" s="3" t="s">
        <v>575</v>
      </c>
      <c r="B64" s="3" t="s">
        <v>14</v>
      </c>
      <c r="C64" s="3">
        <v>1472</v>
      </c>
      <c r="D64" s="3">
        <v>347</v>
      </c>
      <c r="E64" s="3">
        <v>392355</v>
      </c>
      <c r="F64" s="3">
        <v>8.59</v>
      </c>
      <c r="G64" s="3">
        <v>30270</v>
      </c>
      <c r="H64" s="16">
        <f t="shared" si="1"/>
        <v>1125</v>
      </c>
      <c r="I64" s="19">
        <f t="shared" si="2"/>
        <v>0.11360043288207008</v>
      </c>
    </row>
    <row r="65" spans="1:9" ht="15.75" customHeight="1" x14ac:dyDescent="0.3">
      <c r="A65" s="3" t="s">
        <v>575</v>
      </c>
      <c r="B65" s="3" t="s">
        <v>27</v>
      </c>
      <c r="C65" s="3">
        <v>123</v>
      </c>
      <c r="D65" s="3">
        <v>155</v>
      </c>
      <c r="E65" s="3">
        <v>119934</v>
      </c>
      <c r="F65" s="3">
        <v>3.5</v>
      </c>
      <c r="G65" s="3">
        <v>5442</v>
      </c>
      <c r="H65" s="16">
        <f t="shared" si="1"/>
        <v>-32</v>
      </c>
      <c r="I65" s="19">
        <f t="shared" si="2"/>
        <v>0.1123456380162423</v>
      </c>
    </row>
    <row r="66" spans="1:9" ht="15.75" customHeight="1" x14ac:dyDescent="0.3">
      <c r="A66" s="3" t="s">
        <v>576</v>
      </c>
      <c r="B66" s="3" t="s">
        <v>33</v>
      </c>
      <c r="C66" s="3">
        <v>817</v>
      </c>
      <c r="D66" s="3">
        <v>151</v>
      </c>
      <c r="E66" s="3">
        <v>422625</v>
      </c>
      <c r="F66" s="3">
        <v>2.36</v>
      </c>
      <c r="G66" s="3">
        <v>1083</v>
      </c>
      <c r="H66" s="16">
        <f t="shared" si="1"/>
        <v>666</v>
      </c>
      <c r="I66" s="19">
        <f t="shared" ref="I66:I97" si="3">CORREL(G66:G265, H66:H265)</f>
        <v>9.943165498363396E-2</v>
      </c>
    </row>
    <row r="67" spans="1:9" ht="15.75" customHeight="1" x14ac:dyDescent="0.3">
      <c r="A67" s="3" t="s">
        <v>576</v>
      </c>
      <c r="B67" s="3" t="s">
        <v>43</v>
      </c>
      <c r="C67" s="3">
        <v>198</v>
      </c>
      <c r="D67" s="3">
        <v>217</v>
      </c>
      <c r="E67" s="3">
        <v>239753</v>
      </c>
      <c r="F67" s="3">
        <v>7.36</v>
      </c>
      <c r="G67" s="3">
        <v>11901</v>
      </c>
      <c r="H67" s="16">
        <f t="shared" ref="H67:H130" si="4">C67-D67</f>
        <v>-19</v>
      </c>
      <c r="I67" s="19">
        <f t="shared" si="3"/>
        <v>9.6596103526112503E-2</v>
      </c>
    </row>
    <row r="68" spans="1:9" ht="15.75" customHeight="1" x14ac:dyDescent="0.3">
      <c r="A68" s="3" t="s">
        <v>576</v>
      </c>
      <c r="B68" s="3" t="s">
        <v>14</v>
      </c>
      <c r="C68" s="3">
        <v>1911</v>
      </c>
      <c r="D68" s="3">
        <v>231</v>
      </c>
      <c r="E68" s="3">
        <v>268516</v>
      </c>
      <c r="F68" s="3">
        <v>8.5500000000000007</v>
      </c>
      <c r="G68" s="3">
        <v>24018</v>
      </c>
      <c r="H68" s="16">
        <f t="shared" si="4"/>
        <v>1680</v>
      </c>
      <c r="I68" s="19">
        <f t="shared" si="3"/>
        <v>8.7708839061590479E-2</v>
      </c>
    </row>
    <row r="69" spans="1:9" ht="15.75" customHeight="1" x14ac:dyDescent="0.3">
      <c r="A69" s="3" t="s">
        <v>576</v>
      </c>
      <c r="B69" s="3" t="s">
        <v>27</v>
      </c>
      <c r="C69" s="3">
        <v>1218</v>
      </c>
      <c r="D69" s="3">
        <v>212</v>
      </c>
      <c r="E69" s="3">
        <v>63177</v>
      </c>
      <c r="F69" s="3">
        <v>8.1300000000000008</v>
      </c>
      <c r="G69" s="3">
        <v>38883</v>
      </c>
      <c r="H69" s="16">
        <f t="shared" si="4"/>
        <v>1006</v>
      </c>
      <c r="I69" s="19">
        <f t="shared" si="3"/>
        <v>8.8882294019177605E-2</v>
      </c>
    </row>
    <row r="70" spans="1:9" ht="15.75" customHeight="1" x14ac:dyDescent="0.3">
      <c r="A70" s="3" t="s">
        <v>577</v>
      </c>
      <c r="B70" s="3" t="s">
        <v>33</v>
      </c>
      <c r="C70" s="3">
        <v>1433</v>
      </c>
      <c r="D70" s="3">
        <v>408</v>
      </c>
      <c r="E70" s="3">
        <v>370269</v>
      </c>
      <c r="F70" s="3">
        <v>3.3</v>
      </c>
      <c r="G70" s="3">
        <v>30575</v>
      </c>
      <c r="H70" s="16">
        <f t="shared" si="4"/>
        <v>1025</v>
      </c>
      <c r="I70" s="19">
        <f t="shared" si="3"/>
        <v>8.7285176955106999E-2</v>
      </c>
    </row>
    <row r="71" spans="1:9" ht="15.75" customHeight="1" x14ac:dyDescent="0.3">
      <c r="A71" s="3" t="s">
        <v>577</v>
      </c>
      <c r="B71" s="3" t="s">
        <v>43</v>
      </c>
      <c r="C71" s="3">
        <v>250</v>
      </c>
      <c r="D71" s="3">
        <v>429</v>
      </c>
      <c r="E71" s="3">
        <v>453423</v>
      </c>
      <c r="F71" s="3">
        <v>1.77</v>
      </c>
      <c r="G71" s="3">
        <v>2315</v>
      </c>
      <c r="H71" s="16">
        <f t="shared" si="4"/>
        <v>-179</v>
      </c>
      <c r="I71" s="19">
        <f t="shared" si="3"/>
        <v>8.6440903934551991E-2</v>
      </c>
    </row>
    <row r="72" spans="1:9" ht="15.75" customHeight="1" x14ac:dyDescent="0.3">
      <c r="A72" s="3" t="s">
        <v>577</v>
      </c>
      <c r="B72" s="3" t="s">
        <v>14</v>
      </c>
      <c r="C72" s="3">
        <v>752</v>
      </c>
      <c r="D72" s="3">
        <v>153</v>
      </c>
      <c r="E72" s="3">
        <v>64906</v>
      </c>
      <c r="F72" s="3">
        <v>2.09</v>
      </c>
      <c r="G72" s="3">
        <v>12148</v>
      </c>
      <c r="H72" s="16">
        <f t="shared" si="4"/>
        <v>599</v>
      </c>
      <c r="I72" s="19">
        <f t="shared" si="3"/>
        <v>6.6983984864553994E-2</v>
      </c>
    </row>
    <row r="73" spans="1:9" ht="15.75" customHeight="1" x14ac:dyDescent="0.3">
      <c r="A73" s="3" t="s">
        <v>577</v>
      </c>
      <c r="B73" s="3" t="s">
        <v>27</v>
      </c>
      <c r="C73" s="3">
        <v>1918</v>
      </c>
      <c r="D73" s="3">
        <v>212</v>
      </c>
      <c r="E73" s="3">
        <v>94360</v>
      </c>
      <c r="F73" s="3">
        <v>7.36</v>
      </c>
      <c r="G73" s="3">
        <v>36851</v>
      </c>
      <c r="H73" s="16">
        <f t="shared" si="4"/>
        <v>1706</v>
      </c>
      <c r="I73" s="19">
        <f t="shared" si="3"/>
        <v>6.4177201273980924E-2</v>
      </c>
    </row>
    <row r="74" spans="1:9" ht="15.75" customHeight="1" x14ac:dyDescent="0.3">
      <c r="A74" s="3" t="s">
        <v>578</v>
      </c>
      <c r="B74" s="3" t="s">
        <v>33</v>
      </c>
      <c r="C74" s="3">
        <v>1939</v>
      </c>
      <c r="D74" s="3">
        <v>67</v>
      </c>
      <c r="E74" s="3">
        <v>187183</v>
      </c>
      <c r="F74" s="3">
        <v>6.25</v>
      </c>
      <c r="G74" s="3">
        <v>41215</v>
      </c>
      <c r="H74" s="16">
        <f t="shared" si="4"/>
        <v>1872</v>
      </c>
      <c r="I74" s="19">
        <f t="shared" si="3"/>
        <v>5.5327503137263791E-2</v>
      </c>
    </row>
    <row r="75" spans="1:9" ht="15.75" customHeight="1" x14ac:dyDescent="0.3">
      <c r="A75" s="3" t="s">
        <v>578</v>
      </c>
      <c r="B75" s="3" t="s">
        <v>43</v>
      </c>
      <c r="C75" s="3">
        <v>1929</v>
      </c>
      <c r="D75" s="3">
        <v>267</v>
      </c>
      <c r="E75" s="3">
        <v>379363</v>
      </c>
      <c r="F75" s="3">
        <v>1.75</v>
      </c>
      <c r="G75" s="3">
        <v>43836</v>
      </c>
      <c r="H75" s="16">
        <f t="shared" si="4"/>
        <v>1662</v>
      </c>
      <c r="I75" s="19">
        <f t="shared" si="3"/>
        <v>4.0236573343485987E-2</v>
      </c>
    </row>
    <row r="76" spans="1:9" ht="15.75" customHeight="1" x14ac:dyDescent="0.3">
      <c r="A76" s="3" t="s">
        <v>578</v>
      </c>
      <c r="B76" s="3" t="s">
        <v>14</v>
      </c>
      <c r="C76" s="3">
        <v>437</v>
      </c>
      <c r="D76" s="3">
        <v>330</v>
      </c>
      <c r="E76" s="3">
        <v>476486</v>
      </c>
      <c r="F76" s="3">
        <v>4.97</v>
      </c>
      <c r="G76" s="3">
        <v>4509</v>
      </c>
      <c r="H76" s="16">
        <f t="shared" si="4"/>
        <v>107</v>
      </c>
      <c r="I76" s="19">
        <f t="shared" si="3"/>
        <v>2.5602621216119715E-2</v>
      </c>
    </row>
    <row r="77" spans="1:9" ht="15.75" customHeight="1" x14ac:dyDescent="0.3">
      <c r="A77" s="3" t="s">
        <v>578</v>
      </c>
      <c r="B77" s="3" t="s">
        <v>27</v>
      </c>
      <c r="C77" s="3">
        <v>307</v>
      </c>
      <c r="D77" s="3">
        <v>189</v>
      </c>
      <c r="E77" s="3">
        <v>117767</v>
      </c>
      <c r="F77" s="3">
        <v>9.3000000000000007</v>
      </c>
      <c r="G77" s="3">
        <v>27822</v>
      </c>
      <c r="H77" s="16">
        <f t="shared" si="4"/>
        <v>118</v>
      </c>
      <c r="I77" s="19">
        <f t="shared" si="3"/>
        <v>1.150528355060969E-2</v>
      </c>
    </row>
    <row r="78" spans="1:9" ht="15.75" customHeight="1" x14ac:dyDescent="0.3">
      <c r="A78" s="3" t="s">
        <v>579</v>
      </c>
      <c r="B78" s="3" t="s">
        <v>33</v>
      </c>
      <c r="C78" s="3">
        <v>1527</v>
      </c>
      <c r="D78" s="3">
        <v>303</v>
      </c>
      <c r="E78" s="3">
        <v>388555</v>
      </c>
      <c r="F78" s="3">
        <v>8.9</v>
      </c>
      <c r="G78" s="3">
        <v>36397</v>
      </c>
      <c r="H78" s="16">
        <f t="shared" si="4"/>
        <v>1224</v>
      </c>
      <c r="I78" s="19">
        <f t="shared" si="3"/>
        <v>1.3894789843263937E-2</v>
      </c>
    </row>
    <row r="79" spans="1:9" ht="15.75" customHeight="1" x14ac:dyDescent="0.3">
      <c r="A79" s="3" t="s">
        <v>579</v>
      </c>
      <c r="B79" s="3" t="s">
        <v>43</v>
      </c>
      <c r="C79" s="3">
        <v>643</v>
      </c>
      <c r="D79" s="3">
        <v>358</v>
      </c>
      <c r="E79" s="3">
        <v>157599</v>
      </c>
      <c r="F79" s="3">
        <v>3.88</v>
      </c>
      <c r="G79" s="3">
        <v>7285</v>
      </c>
      <c r="H79" s="16">
        <f t="shared" si="4"/>
        <v>285</v>
      </c>
      <c r="I79" s="19">
        <f t="shared" si="3"/>
        <v>9.5776004194600868E-3</v>
      </c>
    </row>
    <row r="80" spans="1:9" ht="15.75" customHeight="1" x14ac:dyDescent="0.3">
      <c r="A80" s="3" t="s">
        <v>579</v>
      </c>
      <c r="B80" s="3" t="s">
        <v>14</v>
      </c>
      <c r="C80" s="3">
        <v>201</v>
      </c>
      <c r="D80" s="3">
        <v>221</v>
      </c>
      <c r="E80" s="3">
        <v>309772</v>
      </c>
      <c r="F80" s="3">
        <v>5.9</v>
      </c>
      <c r="G80" s="3">
        <v>33174</v>
      </c>
      <c r="H80" s="16">
        <f t="shared" si="4"/>
        <v>-20</v>
      </c>
      <c r="I80" s="19">
        <f t="shared" si="3"/>
        <v>-1.3789302611630491E-4</v>
      </c>
    </row>
    <row r="81" spans="1:9" ht="15.75" customHeight="1" x14ac:dyDescent="0.3">
      <c r="A81" s="3" t="s">
        <v>579</v>
      </c>
      <c r="B81" s="3" t="s">
        <v>27</v>
      </c>
      <c r="C81" s="3">
        <v>414</v>
      </c>
      <c r="D81" s="3">
        <v>47</v>
      </c>
      <c r="E81" s="3">
        <v>199178</v>
      </c>
      <c r="F81" s="3">
        <v>1.53</v>
      </c>
      <c r="G81" s="3">
        <v>6742</v>
      </c>
      <c r="H81" s="16">
        <f t="shared" si="4"/>
        <v>367</v>
      </c>
      <c r="I81" s="19">
        <f t="shared" si="3"/>
        <v>7.4639475062295438E-3</v>
      </c>
    </row>
    <row r="82" spans="1:9" ht="15.75" customHeight="1" x14ac:dyDescent="0.3">
      <c r="A82" s="3" t="s">
        <v>168</v>
      </c>
      <c r="B82" s="3" t="s">
        <v>33</v>
      </c>
      <c r="C82" s="3">
        <v>703</v>
      </c>
      <c r="D82" s="3">
        <v>441</v>
      </c>
      <c r="E82" s="3">
        <v>357089</v>
      </c>
      <c r="F82" s="3">
        <v>6.5</v>
      </c>
      <c r="G82" s="3">
        <v>32478</v>
      </c>
      <c r="H82" s="16">
        <f t="shared" si="4"/>
        <v>262</v>
      </c>
      <c r="I82" s="19">
        <f t="shared" si="3"/>
        <v>-1.5493859671186308E-3</v>
      </c>
    </row>
    <row r="83" spans="1:9" ht="15.75" customHeight="1" x14ac:dyDescent="0.3">
      <c r="A83" s="3" t="s">
        <v>168</v>
      </c>
      <c r="B83" s="3" t="s">
        <v>43</v>
      </c>
      <c r="C83" s="3">
        <v>508</v>
      </c>
      <c r="D83" s="3">
        <v>69</v>
      </c>
      <c r="E83" s="3">
        <v>23492</v>
      </c>
      <c r="F83" s="3">
        <v>3.16</v>
      </c>
      <c r="G83" s="3">
        <v>42824</v>
      </c>
      <c r="H83" s="16">
        <f t="shared" si="4"/>
        <v>439</v>
      </c>
      <c r="I83" s="19">
        <f t="shared" si="3"/>
        <v>3.2889183939969996E-3</v>
      </c>
    </row>
    <row r="84" spans="1:9" ht="15.75" customHeight="1" x14ac:dyDescent="0.3">
      <c r="A84" s="3" t="s">
        <v>168</v>
      </c>
      <c r="B84" s="3" t="s">
        <v>14</v>
      </c>
      <c r="C84" s="3">
        <v>697</v>
      </c>
      <c r="D84" s="3">
        <v>61</v>
      </c>
      <c r="E84" s="3">
        <v>258287</v>
      </c>
      <c r="F84" s="3">
        <v>8.25</v>
      </c>
      <c r="G84" s="3">
        <v>21208</v>
      </c>
      <c r="H84" s="16">
        <f t="shared" si="4"/>
        <v>636</v>
      </c>
      <c r="I84" s="19">
        <f t="shared" si="3"/>
        <v>1.1519047997339507E-2</v>
      </c>
    </row>
    <row r="85" spans="1:9" ht="15.75" customHeight="1" x14ac:dyDescent="0.3">
      <c r="A85" s="3" t="s">
        <v>168</v>
      </c>
      <c r="B85" s="3" t="s">
        <v>27</v>
      </c>
      <c r="C85" s="3">
        <v>1707</v>
      </c>
      <c r="D85" s="3">
        <v>223</v>
      </c>
      <c r="E85" s="3">
        <v>256910</v>
      </c>
      <c r="F85" s="3">
        <v>5.41</v>
      </c>
      <c r="G85" s="3">
        <v>44321</v>
      </c>
      <c r="H85" s="16">
        <f t="shared" si="4"/>
        <v>1484</v>
      </c>
      <c r="I85" s="19">
        <f t="shared" si="3"/>
        <v>1.0706754858124539E-2</v>
      </c>
    </row>
    <row r="86" spans="1:9" ht="15.75" customHeight="1" x14ac:dyDescent="0.3">
      <c r="A86" s="3" t="s">
        <v>201</v>
      </c>
      <c r="B86" s="3" t="s">
        <v>33</v>
      </c>
      <c r="C86" s="3">
        <v>642</v>
      </c>
      <c r="D86" s="3">
        <v>66</v>
      </c>
      <c r="E86" s="3">
        <v>346522</v>
      </c>
      <c r="F86" s="3">
        <v>5.85</v>
      </c>
      <c r="G86" s="3">
        <v>13116</v>
      </c>
      <c r="H86" s="16">
        <f t="shared" si="4"/>
        <v>576</v>
      </c>
      <c r="I86" s="19">
        <f t="shared" si="3"/>
        <v>-1.9224958240335057E-3</v>
      </c>
    </row>
    <row r="87" spans="1:9" ht="15.75" customHeight="1" x14ac:dyDescent="0.3">
      <c r="A87" s="3" t="s">
        <v>201</v>
      </c>
      <c r="B87" s="3" t="s">
        <v>43</v>
      </c>
      <c r="C87" s="3">
        <v>859</v>
      </c>
      <c r="D87" s="3">
        <v>473</v>
      </c>
      <c r="E87" s="3">
        <v>209987</v>
      </c>
      <c r="F87" s="3">
        <v>4.46</v>
      </c>
      <c r="G87" s="3">
        <v>30214</v>
      </c>
      <c r="H87" s="16">
        <f t="shared" si="4"/>
        <v>386</v>
      </c>
      <c r="I87" s="19">
        <f t="shared" si="3"/>
        <v>-5.4656297459235812E-3</v>
      </c>
    </row>
    <row r="88" spans="1:9" ht="15.75" customHeight="1" x14ac:dyDescent="0.3">
      <c r="A88" s="3" t="s">
        <v>201</v>
      </c>
      <c r="B88" s="3" t="s">
        <v>14</v>
      </c>
      <c r="C88" s="3">
        <v>191</v>
      </c>
      <c r="D88" s="3">
        <v>154</v>
      </c>
      <c r="E88" s="3">
        <v>240550</v>
      </c>
      <c r="F88" s="3">
        <v>5.22</v>
      </c>
      <c r="G88" s="3">
        <v>15827</v>
      </c>
      <c r="H88" s="16">
        <f t="shared" si="4"/>
        <v>37</v>
      </c>
      <c r="I88" s="19">
        <f t="shared" si="3"/>
        <v>-2.4885219914872769E-3</v>
      </c>
    </row>
    <row r="89" spans="1:9" ht="15.75" customHeight="1" x14ac:dyDescent="0.3">
      <c r="A89" s="3" t="s">
        <v>201</v>
      </c>
      <c r="B89" s="3" t="s">
        <v>27</v>
      </c>
      <c r="C89" s="3">
        <v>1814</v>
      </c>
      <c r="D89" s="3">
        <v>157</v>
      </c>
      <c r="E89" s="3">
        <v>305827</v>
      </c>
      <c r="F89" s="3">
        <v>1.99</v>
      </c>
      <c r="G89" s="3">
        <v>46643</v>
      </c>
      <c r="H89" s="16">
        <f t="shared" si="4"/>
        <v>1657</v>
      </c>
      <c r="I89" s="19">
        <f t="shared" si="3"/>
        <v>-1.032847209385284E-2</v>
      </c>
    </row>
    <row r="90" spans="1:9" ht="15.75" customHeight="1" x14ac:dyDescent="0.3">
      <c r="A90" s="3" t="s">
        <v>282</v>
      </c>
      <c r="B90" s="3" t="s">
        <v>33</v>
      </c>
      <c r="C90" s="3">
        <v>1466</v>
      </c>
      <c r="D90" s="3">
        <v>69</v>
      </c>
      <c r="E90" s="3">
        <v>54935</v>
      </c>
      <c r="F90" s="3">
        <v>6.85</v>
      </c>
      <c r="G90" s="3">
        <v>36484</v>
      </c>
      <c r="H90" s="16">
        <f t="shared" si="4"/>
        <v>1397</v>
      </c>
      <c r="I90" s="19">
        <f t="shared" si="3"/>
        <v>-2.9384367282102367E-2</v>
      </c>
    </row>
    <row r="91" spans="1:9" ht="15.75" customHeight="1" x14ac:dyDescent="0.3">
      <c r="A91" s="3" t="s">
        <v>282</v>
      </c>
      <c r="B91" s="3" t="s">
        <v>43</v>
      </c>
      <c r="C91" s="3">
        <v>947</v>
      </c>
      <c r="D91" s="3">
        <v>407</v>
      </c>
      <c r="E91" s="3">
        <v>319186</v>
      </c>
      <c r="F91" s="3">
        <v>3.32</v>
      </c>
      <c r="G91" s="3">
        <v>4996</v>
      </c>
      <c r="H91" s="16">
        <f t="shared" si="4"/>
        <v>540</v>
      </c>
      <c r="I91" s="19">
        <f t="shared" si="3"/>
        <v>-3.6616399709179064E-2</v>
      </c>
    </row>
    <row r="92" spans="1:9" ht="15.75" customHeight="1" x14ac:dyDescent="0.3">
      <c r="A92" s="3" t="s">
        <v>282</v>
      </c>
      <c r="B92" s="3" t="s">
        <v>14</v>
      </c>
      <c r="C92" s="3">
        <v>1821</v>
      </c>
      <c r="D92" s="3">
        <v>218</v>
      </c>
      <c r="E92" s="3">
        <v>439080</v>
      </c>
      <c r="F92" s="3">
        <v>5.68</v>
      </c>
      <c r="G92" s="3">
        <v>36095</v>
      </c>
      <c r="H92" s="16">
        <f t="shared" si="4"/>
        <v>1603</v>
      </c>
      <c r="I92" s="19">
        <f t="shared" si="3"/>
        <v>-4.4156433611150896E-2</v>
      </c>
    </row>
    <row r="93" spans="1:9" ht="15.75" customHeight="1" x14ac:dyDescent="0.3">
      <c r="A93" s="3" t="s">
        <v>282</v>
      </c>
      <c r="B93" s="3" t="s">
        <v>27</v>
      </c>
      <c r="C93" s="3">
        <v>1507</v>
      </c>
      <c r="D93" s="3">
        <v>463</v>
      </c>
      <c r="E93" s="3">
        <v>258944</v>
      </c>
      <c r="F93" s="3">
        <v>6.08</v>
      </c>
      <c r="G93" s="3">
        <v>16443</v>
      </c>
      <c r="H93" s="16">
        <f t="shared" si="4"/>
        <v>1044</v>
      </c>
      <c r="I93" s="19">
        <f t="shared" si="3"/>
        <v>-5.4289476551247016E-2</v>
      </c>
    </row>
    <row r="94" spans="1:9" ht="15.75" customHeight="1" x14ac:dyDescent="0.3">
      <c r="A94" s="3" t="s">
        <v>580</v>
      </c>
      <c r="B94" s="3" t="s">
        <v>33</v>
      </c>
      <c r="C94" s="3">
        <v>1075</v>
      </c>
      <c r="D94" s="3">
        <v>173</v>
      </c>
      <c r="E94" s="3">
        <v>51395</v>
      </c>
      <c r="F94" s="3">
        <v>4.66</v>
      </c>
      <c r="G94" s="3">
        <v>47812</v>
      </c>
      <c r="H94" s="16">
        <f t="shared" si="4"/>
        <v>902</v>
      </c>
      <c r="I94" s="19">
        <f t="shared" si="3"/>
        <v>-5.2844190374846681E-2</v>
      </c>
    </row>
    <row r="95" spans="1:9" ht="15.75" customHeight="1" x14ac:dyDescent="0.3">
      <c r="A95" s="3" t="s">
        <v>580</v>
      </c>
      <c r="B95" s="3" t="s">
        <v>43</v>
      </c>
      <c r="C95" s="3">
        <v>171</v>
      </c>
      <c r="D95" s="3">
        <v>277</v>
      </c>
      <c r="E95" s="3">
        <v>309483</v>
      </c>
      <c r="F95" s="3">
        <v>8.6999999999999993</v>
      </c>
      <c r="G95" s="3">
        <v>38452</v>
      </c>
      <c r="H95" s="16">
        <f t="shared" si="4"/>
        <v>-106</v>
      </c>
      <c r="I95" s="19">
        <f t="shared" si="3"/>
        <v>-5.4439682175440707E-2</v>
      </c>
    </row>
    <row r="96" spans="1:9" ht="15.75" customHeight="1" x14ac:dyDescent="0.3">
      <c r="A96" s="3" t="s">
        <v>580</v>
      </c>
      <c r="B96" s="3" t="s">
        <v>14</v>
      </c>
      <c r="C96" s="3">
        <v>1487</v>
      </c>
      <c r="D96" s="3">
        <v>337</v>
      </c>
      <c r="E96" s="3">
        <v>87305</v>
      </c>
      <c r="F96" s="3">
        <v>2.46</v>
      </c>
      <c r="G96" s="3">
        <v>30428</v>
      </c>
      <c r="H96" s="16">
        <f t="shared" si="4"/>
        <v>1150</v>
      </c>
      <c r="I96" s="19">
        <f t="shared" si="3"/>
        <v>-3.906974683359371E-2</v>
      </c>
    </row>
    <row r="97" spans="1:9" ht="15.75" customHeight="1" x14ac:dyDescent="0.3">
      <c r="A97" s="3" t="s">
        <v>580</v>
      </c>
      <c r="B97" s="3" t="s">
        <v>27</v>
      </c>
      <c r="C97" s="3">
        <v>454</v>
      </c>
      <c r="D97" s="3">
        <v>105</v>
      </c>
      <c r="E97" s="3">
        <v>121091</v>
      </c>
      <c r="F97" s="3">
        <v>7.97</v>
      </c>
      <c r="G97" s="3">
        <v>9269</v>
      </c>
      <c r="H97" s="16">
        <f t="shared" si="4"/>
        <v>349</v>
      </c>
      <c r="I97" s="19">
        <f t="shared" si="3"/>
        <v>-4.1221587797489592E-2</v>
      </c>
    </row>
    <row r="98" spans="1:9" ht="15.75" customHeight="1" x14ac:dyDescent="0.3">
      <c r="A98" s="3" t="s">
        <v>67</v>
      </c>
      <c r="B98" s="3" t="s">
        <v>33</v>
      </c>
      <c r="C98" s="3">
        <v>187</v>
      </c>
      <c r="D98" s="3">
        <v>236</v>
      </c>
      <c r="E98" s="3">
        <v>51087</v>
      </c>
      <c r="F98" s="3">
        <v>9.41</v>
      </c>
      <c r="G98" s="3">
        <v>29533</v>
      </c>
      <c r="H98" s="16">
        <f t="shared" si="4"/>
        <v>-49</v>
      </c>
      <c r="I98" s="19">
        <f t="shared" ref="I98:I129" si="5">CORREL(G98:G297, H98:H297)</f>
        <v>-5.0719587748182089E-2</v>
      </c>
    </row>
    <row r="99" spans="1:9" ht="15.75" customHeight="1" x14ac:dyDescent="0.3">
      <c r="A99" s="3" t="s">
        <v>67</v>
      </c>
      <c r="B99" s="3" t="s">
        <v>43</v>
      </c>
      <c r="C99" s="3">
        <v>513</v>
      </c>
      <c r="D99" s="3">
        <v>441</v>
      </c>
      <c r="E99" s="3">
        <v>338847</v>
      </c>
      <c r="F99" s="3">
        <v>2.68</v>
      </c>
      <c r="G99" s="3">
        <v>39997</v>
      </c>
      <c r="H99" s="16">
        <f t="shared" si="4"/>
        <v>72</v>
      </c>
      <c r="I99" s="19">
        <f t="shared" si="5"/>
        <v>-4.5285403886872133E-2</v>
      </c>
    </row>
    <row r="100" spans="1:9" ht="15.75" customHeight="1" x14ac:dyDescent="0.3">
      <c r="A100" s="3" t="s">
        <v>67</v>
      </c>
      <c r="B100" s="3" t="s">
        <v>14</v>
      </c>
      <c r="C100" s="3">
        <v>628</v>
      </c>
      <c r="D100" s="3">
        <v>183</v>
      </c>
      <c r="E100" s="3">
        <v>487523</v>
      </c>
      <c r="F100" s="3">
        <v>7.32</v>
      </c>
      <c r="G100" s="3">
        <v>5391</v>
      </c>
      <c r="H100" s="16">
        <f t="shared" si="4"/>
        <v>445</v>
      </c>
      <c r="I100" s="19">
        <f t="shared" si="5"/>
        <v>-3.0065484737233191E-2</v>
      </c>
    </row>
    <row r="101" spans="1:9" ht="15.75" customHeight="1" x14ac:dyDescent="0.3">
      <c r="A101" s="3" t="s">
        <v>67</v>
      </c>
      <c r="B101" s="3" t="s">
        <v>27</v>
      </c>
      <c r="C101" s="3">
        <v>278</v>
      </c>
      <c r="D101" s="3">
        <v>218</v>
      </c>
      <c r="E101" s="3">
        <v>301695</v>
      </c>
      <c r="F101" s="3">
        <v>4.68</v>
      </c>
      <c r="G101" s="3">
        <v>22373</v>
      </c>
      <c r="H101" s="16">
        <f t="shared" si="4"/>
        <v>60</v>
      </c>
      <c r="I101" s="19">
        <f t="shared" si="5"/>
        <v>-4.0707892053210411E-2</v>
      </c>
    </row>
    <row r="102" spans="1:9" ht="15.75" customHeight="1" x14ac:dyDescent="0.3">
      <c r="A102" s="3" t="s">
        <v>129</v>
      </c>
      <c r="B102" s="3" t="s">
        <v>33</v>
      </c>
      <c r="C102" s="3">
        <v>1854</v>
      </c>
      <c r="D102" s="3">
        <v>161</v>
      </c>
      <c r="E102" s="3">
        <v>282466</v>
      </c>
      <c r="F102" s="3">
        <v>5.17</v>
      </c>
      <c r="G102" s="3">
        <v>1810</v>
      </c>
      <c r="H102" s="16">
        <f t="shared" si="4"/>
        <v>1693</v>
      </c>
      <c r="I102" s="19">
        <f t="shared" si="5"/>
        <v>-4.2891220205955975E-2</v>
      </c>
    </row>
    <row r="103" spans="1:9" ht="15.75" customHeight="1" x14ac:dyDescent="0.3">
      <c r="A103" s="3" t="s">
        <v>129</v>
      </c>
      <c r="B103" s="3" t="s">
        <v>43</v>
      </c>
      <c r="C103" s="3">
        <v>1710</v>
      </c>
      <c r="D103" s="3">
        <v>378</v>
      </c>
      <c r="E103" s="3">
        <v>336661</v>
      </c>
      <c r="F103" s="3">
        <v>6.2</v>
      </c>
      <c r="G103" s="3">
        <v>28498</v>
      </c>
      <c r="H103" s="16">
        <f t="shared" si="4"/>
        <v>1332</v>
      </c>
      <c r="I103" s="19">
        <f t="shared" si="5"/>
        <v>-2.1599100733193266E-2</v>
      </c>
    </row>
    <row r="104" spans="1:9" ht="15.75" customHeight="1" x14ac:dyDescent="0.3">
      <c r="A104" s="3" t="s">
        <v>129</v>
      </c>
      <c r="B104" s="3" t="s">
        <v>14</v>
      </c>
      <c r="C104" s="3">
        <v>330</v>
      </c>
      <c r="D104" s="3">
        <v>232</v>
      </c>
      <c r="E104" s="3">
        <v>88455</v>
      </c>
      <c r="F104" s="3">
        <v>2.69</v>
      </c>
      <c r="G104" s="3">
        <v>39530</v>
      </c>
      <c r="H104" s="16">
        <f t="shared" si="4"/>
        <v>98</v>
      </c>
      <c r="I104" s="19">
        <f t="shared" si="5"/>
        <v>-2.4012734951827097E-2</v>
      </c>
    </row>
    <row r="105" spans="1:9" ht="15.75" customHeight="1" x14ac:dyDescent="0.3">
      <c r="A105" s="3" t="s">
        <v>129</v>
      </c>
      <c r="B105" s="3" t="s">
        <v>27</v>
      </c>
      <c r="C105" s="3">
        <v>1293</v>
      </c>
      <c r="D105" s="3">
        <v>408</v>
      </c>
      <c r="E105" s="3">
        <v>62535</v>
      </c>
      <c r="F105" s="3">
        <v>8.9</v>
      </c>
      <c r="G105" s="3">
        <v>37876</v>
      </c>
      <c r="H105" s="16">
        <f t="shared" si="4"/>
        <v>885</v>
      </c>
      <c r="I105" s="19">
        <f t="shared" si="5"/>
        <v>-8.4552276338424343E-3</v>
      </c>
    </row>
    <row r="106" spans="1:9" ht="15.75" customHeight="1" x14ac:dyDescent="0.3">
      <c r="A106" s="3" t="s">
        <v>581</v>
      </c>
      <c r="B106" s="3" t="s">
        <v>33</v>
      </c>
      <c r="C106" s="3">
        <v>1696</v>
      </c>
      <c r="D106" s="3">
        <v>71</v>
      </c>
      <c r="E106" s="3">
        <v>421957</v>
      </c>
      <c r="F106" s="3">
        <v>3.79</v>
      </c>
      <c r="G106" s="3">
        <v>36103</v>
      </c>
      <c r="H106" s="16">
        <f t="shared" si="4"/>
        <v>1625</v>
      </c>
      <c r="I106" s="19">
        <f t="shared" si="5"/>
        <v>-8.1278603122844281E-3</v>
      </c>
    </row>
    <row r="107" spans="1:9" ht="15.75" customHeight="1" x14ac:dyDescent="0.3">
      <c r="A107" s="3" t="s">
        <v>581</v>
      </c>
      <c r="B107" s="3" t="s">
        <v>43</v>
      </c>
      <c r="C107" s="3">
        <v>1902</v>
      </c>
      <c r="D107" s="3">
        <v>196</v>
      </c>
      <c r="E107" s="3">
        <v>470269</v>
      </c>
      <c r="F107" s="3">
        <v>4.79</v>
      </c>
      <c r="G107" s="3">
        <v>26103</v>
      </c>
      <c r="H107" s="16">
        <f t="shared" si="4"/>
        <v>1706</v>
      </c>
      <c r="I107" s="19">
        <f t="shared" si="5"/>
        <v>-1.9864808308509257E-2</v>
      </c>
    </row>
    <row r="108" spans="1:9" ht="15.75" customHeight="1" x14ac:dyDescent="0.3">
      <c r="A108" s="3" t="s">
        <v>581</v>
      </c>
      <c r="B108" s="3" t="s">
        <v>14</v>
      </c>
      <c r="C108" s="3">
        <v>1441</v>
      </c>
      <c r="D108" s="3">
        <v>268</v>
      </c>
      <c r="E108" s="3">
        <v>309904</v>
      </c>
      <c r="F108" s="3">
        <v>6.37</v>
      </c>
      <c r="G108" s="3">
        <v>3455</v>
      </c>
      <c r="H108" s="16">
        <f t="shared" si="4"/>
        <v>1173</v>
      </c>
      <c r="I108" s="19">
        <f t="shared" si="5"/>
        <v>-2.2600104496979745E-2</v>
      </c>
    </row>
    <row r="109" spans="1:9" ht="15.75" customHeight="1" x14ac:dyDescent="0.3">
      <c r="A109" s="3" t="s">
        <v>581</v>
      </c>
      <c r="B109" s="3" t="s">
        <v>27</v>
      </c>
      <c r="C109" s="3">
        <v>452</v>
      </c>
      <c r="D109" s="3">
        <v>161</v>
      </c>
      <c r="E109" s="3">
        <v>221274</v>
      </c>
      <c r="F109" s="3">
        <v>2.65</v>
      </c>
      <c r="G109" s="3">
        <v>40888</v>
      </c>
      <c r="H109" s="16">
        <f t="shared" si="4"/>
        <v>291</v>
      </c>
      <c r="I109" s="19">
        <f t="shared" si="5"/>
        <v>-1.5055741272587303E-2</v>
      </c>
    </row>
    <row r="110" spans="1:9" ht="15.75" customHeight="1" x14ac:dyDescent="0.3">
      <c r="A110" s="3" t="s">
        <v>221</v>
      </c>
      <c r="B110" s="3" t="s">
        <v>33</v>
      </c>
      <c r="C110" s="3">
        <v>1494</v>
      </c>
      <c r="D110" s="3">
        <v>375</v>
      </c>
      <c r="E110" s="3">
        <v>220616</v>
      </c>
      <c r="F110" s="3">
        <v>1.81</v>
      </c>
      <c r="G110" s="3">
        <v>22724</v>
      </c>
      <c r="H110" s="16">
        <f t="shared" si="4"/>
        <v>1119</v>
      </c>
      <c r="I110" s="19">
        <f t="shared" si="5"/>
        <v>-1.3936218160008635E-3</v>
      </c>
    </row>
    <row r="111" spans="1:9" ht="15.75" customHeight="1" x14ac:dyDescent="0.3">
      <c r="A111" s="3" t="s">
        <v>221</v>
      </c>
      <c r="B111" s="3" t="s">
        <v>43</v>
      </c>
      <c r="C111" s="3">
        <v>1514</v>
      </c>
      <c r="D111" s="3">
        <v>141</v>
      </c>
      <c r="E111" s="3">
        <v>35842</v>
      </c>
      <c r="F111" s="3">
        <v>7.47</v>
      </c>
      <c r="G111" s="3">
        <v>18601</v>
      </c>
      <c r="H111" s="16">
        <f t="shared" si="4"/>
        <v>1373</v>
      </c>
      <c r="I111" s="19">
        <f t="shared" si="5"/>
        <v>-1.060237118178362E-3</v>
      </c>
    </row>
    <row r="112" spans="1:9" ht="15.75" customHeight="1" x14ac:dyDescent="0.3">
      <c r="A112" s="3" t="s">
        <v>221</v>
      </c>
      <c r="B112" s="3" t="s">
        <v>14</v>
      </c>
      <c r="C112" s="3">
        <v>1937</v>
      </c>
      <c r="D112" s="3">
        <v>210</v>
      </c>
      <c r="E112" s="3">
        <v>20607</v>
      </c>
      <c r="F112" s="3">
        <v>4.2</v>
      </c>
      <c r="G112" s="3">
        <v>20861</v>
      </c>
      <c r="H112" s="16">
        <f t="shared" si="4"/>
        <v>1727</v>
      </c>
      <c r="I112" s="19">
        <f t="shared" si="5"/>
        <v>2.4188708048613022E-3</v>
      </c>
    </row>
    <row r="113" spans="1:9" ht="15.75" customHeight="1" x14ac:dyDescent="0.3">
      <c r="A113" s="3" t="s">
        <v>221</v>
      </c>
      <c r="B113" s="3" t="s">
        <v>27</v>
      </c>
      <c r="C113" s="3">
        <v>736</v>
      </c>
      <c r="D113" s="3">
        <v>163</v>
      </c>
      <c r="E113" s="3">
        <v>451894</v>
      </c>
      <c r="F113" s="3">
        <v>5.43</v>
      </c>
      <c r="G113" s="3">
        <v>46625</v>
      </c>
      <c r="H113" s="16">
        <f t="shared" si="4"/>
        <v>573</v>
      </c>
      <c r="I113" s="19">
        <f t="shared" si="5"/>
        <v>6.0042459821675843E-3</v>
      </c>
    </row>
    <row r="114" spans="1:9" ht="15.75" customHeight="1" x14ac:dyDescent="0.3">
      <c r="A114" s="3" t="s">
        <v>112</v>
      </c>
      <c r="B114" s="3" t="s">
        <v>33</v>
      </c>
      <c r="C114" s="3">
        <v>1502</v>
      </c>
      <c r="D114" s="3">
        <v>70</v>
      </c>
      <c r="E114" s="3">
        <v>465553</v>
      </c>
      <c r="F114" s="3">
        <v>3.32</v>
      </c>
      <c r="G114" s="3">
        <v>20692</v>
      </c>
      <c r="H114" s="16">
        <f t="shared" si="4"/>
        <v>1432</v>
      </c>
      <c r="I114" s="19">
        <f t="shared" si="5"/>
        <v>1.591430595185464E-2</v>
      </c>
    </row>
    <row r="115" spans="1:9" ht="15.75" customHeight="1" x14ac:dyDescent="0.3">
      <c r="A115" s="3" t="s">
        <v>112</v>
      </c>
      <c r="B115" s="3" t="s">
        <v>43</v>
      </c>
      <c r="C115" s="3">
        <v>1623</v>
      </c>
      <c r="D115" s="3">
        <v>246</v>
      </c>
      <c r="E115" s="3">
        <v>415815</v>
      </c>
      <c r="F115" s="3">
        <v>8.11</v>
      </c>
      <c r="G115" s="3">
        <v>18656</v>
      </c>
      <c r="H115" s="16">
        <f t="shared" si="4"/>
        <v>1377</v>
      </c>
      <c r="I115" s="19">
        <f t="shared" si="5"/>
        <v>1.8349268886260626E-2</v>
      </c>
    </row>
    <row r="116" spans="1:9" ht="15.75" customHeight="1" x14ac:dyDescent="0.3">
      <c r="A116" s="3" t="s">
        <v>112</v>
      </c>
      <c r="B116" s="3" t="s">
        <v>14</v>
      </c>
      <c r="C116" s="3">
        <v>1592</v>
      </c>
      <c r="D116" s="3">
        <v>233</v>
      </c>
      <c r="E116" s="3">
        <v>327183</v>
      </c>
      <c r="F116" s="3">
        <v>6.66</v>
      </c>
      <c r="G116" s="3">
        <v>13316</v>
      </c>
      <c r="H116" s="16">
        <f t="shared" si="4"/>
        <v>1359</v>
      </c>
      <c r="I116" s="19">
        <f t="shared" si="5"/>
        <v>2.2103604360175836E-2</v>
      </c>
    </row>
    <row r="117" spans="1:9" ht="15.75" customHeight="1" x14ac:dyDescent="0.3">
      <c r="A117" s="3" t="s">
        <v>112</v>
      </c>
      <c r="B117" s="3" t="s">
        <v>27</v>
      </c>
      <c r="C117" s="3">
        <v>1004</v>
      </c>
      <c r="D117" s="3">
        <v>128</v>
      </c>
      <c r="E117" s="3">
        <v>488901</v>
      </c>
      <c r="F117" s="3">
        <v>8.09</v>
      </c>
      <c r="G117" s="3">
        <v>49558</v>
      </c>
      <c r="H117" s="16">
        <f t="shared" si="4"/>
        <v>876</v>
      </c>
      <c r="I117" s="19">
        <f t="shared" si="5"/>
        <v>2.9732238026793381E-2</v>
      </c>
    </row>
    <row r="118" spans="1:9" ht="15.75" customHeight="1" x14ac:dyDescent="0.3">
      <c r="A118" s="3" t="s">
        <v>15</v>
      </c>
      <c r="B118" s="3" t="s">
        <v>33</v>
      </c>
      <c r="C118" s="3">
        <v>1092</v>
      </c>
      <c r="D118" s="3">
        <v>408</v>
      </c>
      <c r="E118" s="3">
        <v>280795</v>
      </c>
      <c r="F118" s="3">
        <v>8.44</v>
      </c>
      <c r="G118" s="3">
        <v>4683</v>
      </c>
      <c r="H118" s="16">
        <f t="shared" si="4"/>
        <v>684</v>
      </c>
      <c r="I118" s="19">
        <f t="shared" si="5"/>
        <v>2.9733999402640428E-2</v>
      </c>
    </row>
    <row r="119" spans="1:9" ht="15.75" customHeight="1" x14ac:dyDescent="0.3">
      <c r="A119" s="3" t="s">
        <v>15</v>
      </c>
      <c r="B119" s="3" t="s">
        <v>43</v>
      </c>
      <c r="C119" s="3">
        <v>1155</v>
      </c>
      <c r="D119" s="3">
        <v>425</v>
      </c>
      <c r="E119" s="3">
        <v>93347</v>
      </c>
      <c r="F119" s="3">
        <v>2.02</v>
      </c>
      <c r="G119" s="3">
        <v>47502</v>
      </c>
      <c r="H119" s="16">
        <f t="shared" si="4"/>
        <v>730</v>
      </c>
      <c r="I119" s="19">
        <f t="shared" si="5"/>
        <v>2.5064570676782322E-2</v>
      </c>
    </row>
    <row r="120" spans="1:9" ht="15.75" customHeight="1" x14ac:dyDescent="0.3">
      <c r="A120" s="3" t="s">
        <v>15</v>
      </c>
      <c r="B120" s="3" t="s">
        <v>14</v>
      </c>
      <c r="C120" s="3">
        <v>1137</v>
      </c>
      <c r="D120" s="3">
        <v>226</v>
      </c>
      <c r="E120" s="3">
        <v>81119</v>
      </c>
      <c r="F120" s="3">
        <v>7.74</v>
      </c>
      <c r="G120" s="3">
        <v>35359</v>
      </c>
      <c r="H120" s="16">
        <f t="shared" si="4"/>
        <v>911</v>
      </c>
      <c r="I120" s="19">
        <f t="shared" si="5"/>
        <v>3.0324994131249981E-2</v>
      </c>
    </row>
    <row r="121" spans="1:9" ht="15.75" customHeight="1" x14ac:dyDescent="0.3">
      <c r="A121" s="3" t="s">
        <v>15</v>
      </c>
      <c r="B121" s="3" t="s">
        <v>27</v>
      </c>
      <c r="C121" s="3">
        <v>1900</v>
      </c>
      <c r="D121" s="3">
        <v>311</v>
      </c>
      <c r="E121" s="3">
        <v>25177</v>
      </c>
      <c r="F121" s="3">
        <v>2.89</v>
      </c>
      <c r="G121" s="3">
        <v>14154</v>
      </c>
      <c r="H121" s="16">
        <f t="shared" si="4"/>
        <v>1589</v>
      </c>
      <c r="I121" s="19">
        <f t="shared" si="5"/>
        <v>2.9614871661879295E-2</v>
      </c>
    </row>
    <row r="122" spans="1:9" ht="15.75" customHeight="1" x14ac:dyDescent="0.3">
      <c r="A122" s="3" t="s">
        <v>582</v>
      </c>
      <c r="B122" s="3" t="s">
        <v>33</v>
      </c>
      <c r="C122" s="3">
        <v>1814</v>
      </c>
      <c r="D122" s="3">
        <v>49</v>
      </c>
      <c r="E122" s="3">
        <v>140804</v>
      </c>
      <c r="F122" s="3">
        <v>1.76</v>
      </c>
      <c r="G122" s="3">
        <v>4313</v>
      </c>
      <c r="H122" s="16">
        <f t="shared" si="4"/>
        <v>1765</v>
      </c>
      <c r="I122" s="19">
        <f t="shared" si="5"/>
        <v>4.033978429709123E-2</v>
      </c>
    </row>
    <row r="123" spans="1:9" ht="15.75" customHeight="1" x14ac:dyDescent="0.3">
      <c r="A123" s="3" t="s">
        <v>582</v>
      </c>
      <c r="B123" s="3" t="s">
        <v>43</v>
      </c>
      <c r="C123" s="3">
        <v>1980</v>
      </c>
      <c r="D123" s="3">
        <v>204</v>
      </c>
      <c r="E123" s="3">
        <v>379431</v>
      </c>
      <c r="F123" s="3">
        <v>3.09</v>
      </c>
      <c r="G123" s="3">
        <v>25140</v>
      </c>
      <c r="H123" s="16">
        <f t="shared" si="4"/>
        <v>1776</v>
      </c>
      <c r="I123" s="19">
        <f t="shared" si="5"/>
        <v>6.9311848497743619E-2</v>
      </c>
    </row>
    <row r="124" spans="1:9" ht="15.75" customHeight="1" x14ac:dyDescent="0.3">
      <c r="A124" s="3" t="s">
        <v>582</v>
      </c>
      <c r="B124" s="3" t="s">
        <v>14</v>
      </c>
      <c r="C124" s="3">
        <v>1786</v>
      </c>
      <c r="D124" s="3">
        <v>257</v>
      </c>
      <c r="E124" s="3">
        <v>274831</v>
      </c>
      <c r="F124" s="3">
        <v>4.68</v>
      </c>
      <c r="G124" s="3">
        <v>9118</v>
      </c>
      <c r="H124" s="16">
        <f t="shared" si="4"/>
        <v>1529</v>
      </c>
      <c r="I124" s="19">
        <f t="shared" si="5"/>
        <v>6.8350521821153601E-2</v>
      </c>
    </row>
    <row r="125" spans="1:9" ht="15.75" customHeight="1" x14ac:dyDescent="0.3">
      <c r="A125" s="3" t="s">
        <v>582</v>
      </c>
      <c r="B125" s="3" t="s">
        <v>27</v>
      </c>
      <c r="C125" s="3">
        <v>1495</v>
      </c>
      <c r="D125" s="3">
        <v>35</v>
      </c>
      <c r="E125" s="3">
        <v>136845</v>
      </c>
      <c r="F125" s="3">
        <v>4.4800000000000004</v>
      </c>
      <c r="G125" s="3">
        <v>39931</v>
      </c>
      <c r="H125" s="16">
        <f t="shared" si="4"/>
        <v>1460</v>
      </c>
      <c r="I125" s="19">
        <f t="shared" si="5"/>
        <v>8.6322686733291992E-2</v>
      </c>
    </row>
    <row r="126" spans="1:9" ht="15.75" customHeight="1" x14ac:dyDescent="0.3">
      <c r="A126" s="3" t="s">
        <v>125</v>
      </c>
      <c r="B126" s="3" t="s">
        <v>33</v>
      </c>
      <c r="C126" s="3">
        <v>1013</v>
      </c>
      <c r="D126" s="3">
        <v>110</v>
      </c>
      <c r="E126" s="3">
        <v>466382</v>
      </c>
      <c r="F126" s="3">
        <v>5.3</v>
      </c>
      <c r="G126" s="3">
        <v>37132</v>
      </c>
      <c r="H126" s="16">
        <f t="shared" si="4"/>
        <v>903</v>
      </c>
      <c r="I126" s="19">
        <f t="shared" si="5"/>
        <v>7.0575973567600328E-2</v>
      </c>
    </row>
    <row r="127" spans="1:9" ht="15.75" customHeight="1" x14ac:dyDescent="0.3">
      <c r="A127" s="3" t="s">
        <v>125</v>
      </c>
      <c r="B127" s="3" t="s">
        <v>43</v>
      </c>
      <c r="C127" s="3">
        <v>816</v>
      </c>
      <c r="D127" s="3">
        <v>196</v>
      </c>
      <c r="E127" s="3">
        <v>95728</v>
      </c>
      <c r="F127" s="3">
        <v>8.1999999999999993</v>
      </c>
      <c r="G127" s="3">
        <v>17951</v>
      </c>
      <c r="H127" s="16">
        <f t="shared" si="4"/>
        <v>620</v>
      </c>
      <c r="I127" s="19">
        <f t="shared" si="5"/>
        <v>6.8989381037579359E-2</v>
      </c>
    </row>
    <row r="128" spans="1:9" ht="15.75" customHeight="1" x14ac:dyDescent="0.3">
      <c r="A128" s="3" t="s">
        <v>125</v>
      </c>
      <c r="B128" s="3" t="s">
        <v>14</v>
      </c>
      <c r="C128" s="3">
        <v>1633</v>
      </c>
      <c r="D128" s="3">
        <v>445</v>
      </c>
      <c r="E128" s="3">
        <v>371156</v>
      </c>
      <c r="F128" s="3">
        <v>2.2200000000000002</v>
      </c>
      <c r="G128" s="3">
        <v>2798</v>
      </c>
      <c r="H128" s="16">
        <f t="shared" si="4"/>
        <v>1188</v>
      </c>
      <c r="I128" s="19">
        <f t="shared" si="5"/>
        <v>6.7306221865252189E-2</v>
      </c>
    </row>
    <row r="129" spans="1:9" ht="15.75" customHeight="1" x14ac:dyDescent="0.3">
      <c r="A129" s="3" t="s">
        <v>125</v>
      </c>
      <c r="B129" s="3" t="s">
        <v>27</v>
      </c>
      <c r="C129" s="3">
        <v>891</v>
      </c>
      <c r="D129" s="3">
        <v>45</v>
      </c>
      <c r="E129" s="3">
        <v>95410</v>
      </c>
      <c r="F129" s="3">
        <v>8.33</v>
      </c>
      <c r="G129" s="3">
        <v>15045</v>
      </c>
      <c r="H129" s="16">
        <f t="shared" si="4"/>
        <v>846</v>
      </c>
      <c r="I129" s="19">
        <f t="shared" si="5"/>
        <v>8.1878529386918961E-2</v>
      </c>
    </row>
    <row r="130" spans="1:9" ht="15.75" customHeight="1" x14ac:dyDescent="0.3">
      <c r="A130" s="3" t="s">
        <v>583</v>
      </c>
      <c r="B130" s="3" t="s">
        <v>33</v>
      </c>
      <c r="C130" s="3">
        <v>1855</v>
      </c>
      <c r="D130" s="3">
        <v>133</v>
      </c>
      <c r="E130" s="3">
        <v>349413</v>
      </c>
      <c r="F130" s="3">
        <v>3.3</v>
      </c>
      <c r="G130" s="3">
        <v>14548</v>
      </c>
      <c r="H130" s="16">
        <f t="shared" si="4"/>
        <v>1722</v>
      </c>
      <c r="I130" s="19">
        <f t="shared" ref="I130:I161" si="6">CORREL(G130:G329, H130:H329)</f>
        <v>8.2646981905349817E-2</v>
      </c>
    </row>
    <row r="131" spans="1:9" ht="15.75" customHeight="1" x14ac:dyDescent="0.3">
      <c r="A131" s="3" t="s">
        <v>583</v>
      </c>
      <c r="B131" s="3" t="s">
        <v>43</v>
      </c>
      <c r="C131" s="3">
        <v>651</v>
      </c>
      <c r="D131" s="3">
        <v>353</v>
      </c>
      <c r="E131" s="3">
        <v>224699</v>
      </c>
      <c r="F131" s="3">
        <v>5.61</v>
      </c>
      <c r="G131" s="3">
        <v>45708</v>
      </c>
      <c r="H131" s="16">
        <f t="shared" ref="H131:H194" si="7">C131-D131</f>
        <v>298</v>
      </c>
      <c r="I131" s="19">
        <f t="shared" si="6"/>
        <v>9.9621523498369474E-2</v>
      </c>
    </row>
    <row r="132" spans="1:9" ht="15.75" customHeight="1" x14ac:dyDescent="0.3">
      <c r="A132" s="3" t="s">
        <v>583</v>
      </c>
      <c r="B132" s="3" t="s">
        <v>14</v>
      </c>
      <c r="C132" s="3">
        <v>118</v>
      </c>
      <c r="D132" s="3">
        <v>262</v>
      </c>
      <c r="E132" s="3">
        <v>487896</v>
      </c>
      <c r="F132" s="3">
        <v>2.56</v>
      </c>
      <c r="G132" s="3">
        <v>12350</v>
      </c>
      <c r="H132" s="16">
        <f t="shared" si="7"/>
        <v>-144</v>
      </c>
      <c r="I132" s="19">
        <f t="shared" si="6"/>
        <v>0.12140736381602696</v>
      </c>
    </row>
    <row r="133" spans="1:9" ht="15.75" customHeight="1" x14ac:dyDescent="0.3">
      <c r="A133" s="3" t="s">
        <v>583</v>
      </c>
      <c r="B133" s="3" t="s">
        <v>27</v>
      </c>
      <c r="C133" s="3">
        <v>1331</v>
      </c>
      <c r="D133" s="3">
        <v>430</v>
      </c>
      <c r="E133" s="3">
        <v>14437</v>
      </c>
      <c r="F133" s="3">
        <v>3.29</v>
      </c>
      <c r="G133" s="3">
        <v>40868</v>
      </c>
      <c r="H133" s="16">
        <f t="shared" si="7"/>
        <v>901</v>
      </c>
      <c r="I133" s="19">
        <f t="shared" si="6"/>
        <v>0.1043841730469682</v>
      </c>
    </row>
    <row r="134" spans="1:9" ht="15.75" customHeight="1" x14ac:dyDescent="0.3">
      <c r="A134" s="3" t="s">
        <v>584</v>
      </c>
      <c r="B134" s="3" t="s">
        <v>33</v>
      </c>
      <c r="C134" s="3">
        <v>1748</v>
      </c>
      <c r="D134" s="3">
        <v>176</v>
      </c>
      <c r="E134" s="3">
        <v>383681</v>
      </c>
      <c r="F134" s="3">
        <v>9.24</v>
      </c>
      <c r="G134" s="3">
        <v>43122</v>
      </c>
      <c r="H134" s="16">
        <f t="shared" si="7"/>
        <v>1572</v>
      </c>
      <c r="I134" s="19">
        <f t="shared" si="6"/>
        <v>0.10288120848711464</v>
      </c>
    </row>
    <row r="135" spans="1:9" ht="15.75" customHeight="1" x14ac:dyDescent="0.3">
      <c r="A135" s="3" t="s">
        <v>584</v>
      </c>
      <c r="B135" s="3" t="s">
        <v>43</v>
      </c>
      <c r="C135" s="3">
        <v>663</v>
      </c>
      <c r="D135" s="3">
        <v>236</v>
      </c>
      <c r="E135" s="3">
        <v>479490</v>
      </c>
      <c r="F135" s="3">
        <v>4.51</v>
      </c>
      <c r="G135" s="3">
        <v>23853</v>
      </c>
      <c r="H135" s="16">
        <f t="shared" si="7"/>
        <v>427</v>
      </c>
      <c r="I135" s="19">
        <f t="shared" si="6"/>
        <v>7.745191904253311E-2</v>
      </c>
    </row>
    <row r="136" spans="1:9" ht="15.75" customHeight="1" x14ac:dyDescent="0.3">
      <c r="A136" s="3" t="s">
        <v>584</v>
      </c>
      <c r="B136" s="3" t="s">
        <v>14</v>
      </c>
      <c r="C136" s="3">
        <v>1040</v>
      </c>
      <c r="D136" s="3">
        <v>149</v>
      </c>
      <c r="E136" s="3">
        <v>124404</v>
      </c>
      <c r="F136" s="3">
        <v>5.23</v>
      </c>
      <c r="G136" s="3">
        <v>45380</v>
      </c>
      <c r="H136" s="16">
        <f t="shared" si="7"/>
        <v>891</v>
      </c>
      <c r="I136" s="19">
        <f t="shared" si="6"/>
        <v>7.8044066354749378E-2</v>
      </c>
    </row>
    <row r="137" spans="1:9" ht="15.75" customHeight="1" x14ac:dyDescent="0.3">
      <c r="A137" s="3" t="s">
        <v>584</v>
      </c>
      <c r="B137" s="3" t="s">
        <v>27</v>
      </c>
      <c r="C137" s="3">
        <v>1166</v>
      </c>
      <c r="D137" s="3">
        <v>442</v>
      </c>
      <c r="E137" s="3">
        <v>336949</v>
      </c>
      <c r="F137" s="3">
        <v>4.68</v>
      </c>
      <c r="G137" s="3">
        <v>7705</v>
      </c>
      <c r="H137" s="16">
        <f t="shared" si="7"/>
        <v>724</v>
      </c>
      <c r="I137" s="19">
        <f t="shared" si="6"/>
        <v>7.6092546291344418E-2</v>
      </c>
    </row>
    <row r="138" spans="1:9" ht="15.75" customHeight="1" x14ac:dyDescent="0.3">
      <c r="A138" s="3" t="s">
        <v>224</v>
      </c>
      <c r="B138" s="3" t="s">
        <v>33</v>
      </c>
      <c r="C138" s="3">
        <v>115</v>
      </c>
      <c r="D138" s="3">
        <v>281</v>
      </c>
      <c r="E138" s="3">
        <v>357265</v>
      </c>
      <c r="F138" s="3">
        <v>9.23</v>
      </c>
      <c r="G138" s="3">
        <v>25525</v>
      </c>
      <c r="H138" s="16">
        <f t="shared" si="7"/>
        <v>-166</v>
      </c>
      <c r="I138" s="19">
        <f t="shared" si="6"/>
        <v>7.4208830253461699E-2</v>
      </c>
    </row>
    <row r="139" spans="1:9" ht="15.75" customHeight="1" x14ac:dyDescent="0.3">
      <c r="A139" s="3" t="s">
        <v>224</v>
      </c>
      <c r="B139" s="3" t="s">
        <v>43</v>
      </c>
      <c r="C139" s="3">
        <v>1249</v>
      </c>
      <c r="D139" s="3">
        <v>351</v>
      </c>
      <c r="E139" s="3">
        <v>321307</v>
      </c>
      <c r="F139" s="3">
        <v>6.37</v>
      </c>
      <c r="G139" s="3">
        <v>20560</v>
      </c>
      <c r="H139" s="16">
        <f t="shared" si="7"/>
        <v>898</v>
      </c>
      <c r="I139" s="19">
        <f t="shared" si="6"/>
        <v>8.0437065380814354E-2</v>
      </c>
    </row>
    <row r="140" spans="1:9" ht="15.75" customHeight="1" x14ac:dyDescent="0.3">
      <c r="A140" s="3" t="s">
        <v>224</v>
      </c>
      <c r="B140" s="3" t="s">
        <v>14</v>
      </c>
      <c r="C140" s="3">
        <v>1501</v>
      </c>
      <c r="D140" s="3">
        <v>75</v>
      </c>
      <c r="E140" s="3">
        <v>262569</v>
      </c>
      <c r="F140" s="3">
        <v>2.0099999999999998</v>
      </c>
      <c r="G140" s="3">
        <v>19119</v>
      </c>
      <c r="H140" s="16">
        <f t="shared" si="7"/>
        <v>1426</v>
      </c>
      <c r="I140" s="19">
        <f t="shared" si="6"/>
        <v>8.0867755358654411E-2</v>
      </c>
    </row>
    <row r="141" spans="1:9" ht="15.75" customHeight="1" x14ac:dyDescent="0.3">
      <c r="A141" s="3" t="s">
        <v>224</v>
      </c>
      <c r="B141" s="3" t="s">
        <v>27</v>
      </c>
      <c r="C141" s="3">
        <v>1411</v>
      </c>
      <c r="D141" s="3">
        <v>186</v>
      </c>
      <c r="E141" s="3">
        <v>461669</v>
      </c>
      <c r="F141" s="3">
        <v>3.72</v>
      </c>
      <c r="G141" s="3">
        <v>43999</v>
      </c>
      <c r="H141" s="16">
        <f t="shared" si="7"/>
        <v>1225</v>
      </c>
      <c r="I141" s="19">
        <f t="shared" si="6"/>
        <v>8.6890314703326699E-2</v>
      </c>
    </row>
    <row r="142" spans="1:9" ht="15.75" customHeight="1" x14ac:dyDescent="0.3">
      <c r="A142" s="3" t="s">
        <v>585</v>
      </c>
      <c r="B142" s="3" t="s">
        <v>33</v>
      </c>
      <c r="C142" s="3">
        <v>1556</v>
      </c>
      <c r="D142" s="3">
        <v>476</v>
      </c>
      <c r="E142" s="3">
        <v>351556</v>
      </c>
      <c r="F142" s="3">
        <v>3.89</v>
      </c>
      <c r="G142" s="3">
        <v>10825</v>
      </c>
      <c r="H142" s="16">
        <f t="shared" si="7"/>
        <v>1080</v>
      </c>
      <c r="I142" s="19">
        <f t="shared" si="6"/>
        <v>7.0991745255150701E-2</v>
      </c>
    </row>
    <row r="143" spans="1:9" ht="15.75" customHeight="1" x14ac:dyDescent="0.3">
      <c r="A143" s="3" t="s">
        <v>585</v>
      </c>
      <c r="B143" s="3" t="s">
        <v>43</v>
      </c>
      <c r="C143" s="3">
        <v>1159</v>
      </c>
      <c r="D143" s="3">
        <v>411</v>
      </c>
      <c r="E143" s="3">
        <v>135987</v>
      </c>
      <c r="F143" s="3">
        <v>8.6999999999999993</v>
      </c>
      <c r="G143" s="3">
        <v>40323</v>
      </c>
      <c r="H143" s="16">
        <f t="shared" si="7"/>
        <v>748</v>
      </c>
      <c r="I143" s="19">
        <f t="shared" si="6"/>
        <v>7.8656734233868139E-2</v>
      </c>
    </row>
    <row r="144" spans="1:9" ht="15.75" customHeight="1" x14ac:dyDescent="0.3">
      <c r="A144" s="3" t="s">
        <v>585</v>
      </c>
      <c r="B144" s="3" t="s">
        <v>14</v>
      </c>
      <c r="C144" s="3">
        <v>927</v>
      </c>
      <c r="D144" s="3">
        <v>358</v>
      </c>
      <c r="E144" s="3">
        <v>177554</v>
      </c>
      <c r="F144" s="3">
        <v>6.95</v>
      </c>
      <c r="G144" s="3">
        <v>48270</v>
      </c>
      <c r="H144" s="16">
        <f t="shared" si="7"/>
        <v>569</v>
      </c>
      <c r="I144" s="19">
        <f t="shared" si="6"/>
        <v>8.1758656787011552E-2</v>
      </c>
    </row>
    <row r="145" spans="1:9" ht="15.75" customHeight="1" x14ac:dyDescent="0.3">
      <c r="A145" s="3" t="s">
        <v>585</v>
      </c>
      <c r="B145" s="3" t="s">
        <v>27</v>
      </c>
      <c r="C145" s="3">
        <v>152</v>
      </c>
      <c r="D145" s="3">
        <v>355</v>
      </c>
      <c r="E145" s="3">
        <v>270766</v>
      </c>
      <c r="F145" s="3">
        <v>9.48</v>
      </c>
      <c r="G145" s="3">
        <v>18001</v>
      </c>
      <c r="H145" s="16">
        <f t="shared" si="7"/>
        <v>-203</v>
      </c>
      <c r="I145" s="19">
        <f t="shared" si="6"/>
        <v>9.7672484541901403E-2</v>
      </c>
    </row>
    <row r="146" spans="1:9" ht="15.75" customHeight="1" x14ac:dyDescent="0.3">
      <c r="A146" s="3" t="s">
        <v>249</v>
      </c>
      <c r="B146" s="3" t="s">
        <v>33</v>
      </c>
      <c r="C146" s="3">
        <v>1957</v>
      </c>
      <c r="D146" s="3">
        <v>234</v>
      </c>
      <c r="E146" s="3">
        <v>222126</v>
      </c>
      <c r="F146" s="3">
        <v>4.6100000000000003</v>
      </c>
      <c r="G146" s="3">
        <v>3314</v>
      </c>
      <c r="H146" s="16">
        <f t="shared" si="7"/>
        <v>1723</v>
      </c>
      <c r="I146" s="19">
        <f t="shared" si="6"/>
        <v>9.0031866048129364E-2</v>
      </c>
    </row>
    <row r="147" spans="1:9" ht="15.75" customHeight="1" x14ac:dyDescent="0.3">
      <c r="A147" s="3" t="s">
        <v>249</v>
      </c>
      <c r="B147" s="3" t="s">
        <v>43</v>
      </c>
      <c r="C147" s="3">
        <v>1294</v>
      </c>
      <c r="D147" s="3">
        <v>382</v>
      </c>
      <c r="E147" s="3">
        <v>309914</v>
      </c>
      <c r="F147" s="3">
        <v>8.0299999999999994</v>
      </c>
      <c r="G147" s="3">
        <v>23489</v>
      </c>
      <c r="H147" s="16">
        <f t="shared" si="7"/>
        <v>912</v>
      </c>
      <c r="I147" s="19">
        <f t="shared" si="6"/>
        <v>0.13508985865357395</v>
      </c>
    </row>
    <row r="148" spans="1:9" ht="15.75" customHeight="1" x14ac:dyDescent="0.3">
      <c r="A148" s="3" t="s">
        <v>249</v>
      </c>
      <c r="B148" s="3" t="s">
        <v>14</v>
      </c>
      <c r="C148" s="3">
        <v>1587</v>
      </c>
      <c r="D148" s="3">
        <v>385</v>
      </c>
      <c r="E148" s="3">
        <v>126582</v>
      </c>
      <c r="F148" s="3">
        <v>6.99</v>
      </c>
      <c r="G148" s="3">
        <v>42832</v>
      </c>
      <c r="H148" s="16">
        <f t="shared" si="7"/>
        <v>1202</v>
      </c>
      <c r="I148" s="19">
        <f t="shared" si="6"/>
        <v>0.13499924580076555</v>
      </c>
    </row>
    <row r="149" spans="1:9" ht="15.75" customHeight="1" x14ac:dyDescent="0.3">
      <c r="A149" s="3" t="s">
        <v>249</v>
      </c>
      <c r="B149" s="3" t="s">
        <v>27</v>
      </c>
      <c r="C149" s="3">
        <v>1707</v>
      </c>
      <c r="D149" s="3">
        <v>263</v>
      </c>
      <c r="E149" s="3">
        <v>485280</v>
      </c>
      <c r="F149" s="3">
        <v>9.0299999999999994</v>
      </c>
      <c r="G149" s="3">
        <v>24494</v>
      </c>
      <c r="H149" s="16">
        <f t="shared" si="7"/>
        <v>1444</v>
      </c>
      <c r="I149" s="19">
        <f t="shared" si="6"/>
        <v>0.11914915539556387</v>
      </c>
    </row>
    <row r="150" spans="1:9" ht="15.75" customHeight="1" x14ac:dyDescent="0.3">
      <c r="A150" s="3" t="s">
        <v>127</v>
      </c>
      <c r="B150" s="3" t="s">
        <v>33</v>
      </c>
      <c r="C150" s="3">
        <v>1138</v>
      </c>
      <c r="D150" s="3">
        <v>173</v>
      </c>
      <c r="E150" s="3">
        <v>453243</v>
      </c>
      <c r="F150" s="3">
        <v>2.86</v>
      </c>
      <c r="G150" s="3">
        <v>44097</v>
      </c>
      <c r="H150" s="16">
        <f t="shared" si="7"/>
        <v>965</v>
      </c>
      <c r="I150" s="19">
        <f t="shared" si="6"/>
        <v>0.11754732531919761</v>
      </c>
    </row>
    <row r="151" spans="1:9" ht="15.75" customHeight="1" x14ac:dyDescent="0.3">
      <c r="A151" s="3" t="s">
        <v>127</v>
      </c>
      <c r="B151" s="3" t="s">
        <v>43</v>
      </c>
      <c r="C151" s="3">
        <v>1895</v>
      </c>
      <c r="D151" s="3">
        <v>305</v>
      </c>
      <c r="E151" s="3">
        <v>104967</v>
      </c>
      <c r="F151" s="3">
        <v>3.85</v>
      </c>
      <c r="G151" s="3">
        <v>31853</v>
      </c>
      <c r="H151" s="16">
        <f t="shared" si="7"/>
        <v>1590</v>
      </c>
      <c r="I151" s="19">
        <f t="shared" si="6"/>
        <v>0.11091188015113189</v>
      </c>
    </row>
    <row r="152" spans="1:9" ht="15.75" customHeight="1" x14ac:dyDescent="0.3">
      <c r="A152" s="3" t="s">
        <v>127</v>
      </c>
      <c r="B152" s="3" t="s">
        <v>14</v>
      </c>
      <c r="C152" s="3">
        <v>362</v>
      </c>
      <c r="D152" s="3">
        <v>399</v>
      </c>
      <c r="E152" s="3">
        <v>145608</v>
      </c>
      <c r="F152" s="3">
        <v>7.3</v>
      </c>
      <c r="G152" s="3">
        <v>37636</v>
      </c>
      <c r="H152" s="16">
        <f t="shared" si="7"/>
        <v>-37</v>
      </c>
      <c r="I152" s="19">
        <f t="shared" si="6"/>
        <v>9.3196288520481521E-2</v>
      </c>
    </row>
    <row r="153" spans="1:9" ht="15.75" customHeight="1" x14ac:dyDescent="0.3">
      <c r="A153" s="3" t="s">
        <v>127</v>
      </c>
      <c r="B153" s="3" t="s">
        <v>27</v>
      </c>
      <c r="C153" s="3">
        <v>1662</v>
      </c>
      <c r="D153" s="3">
        <v>487</v>
      </c>
      <c r="E153" s="3">
        <v>105980</v>
      </c>
      <c r="F153" s="3">
        <v>9.08</v>
      </c>
      <c r="G153" s="3">
        <v>22996</v>
      </c>
      <c r="H153" s="16">
        <f t="shared" si="7"/>
        <v>1175</v>
      </c>
      <c r="I153" s="19">
        <f t="shared" si="6"/>
        <v>0.13090500258734375</v>
      </c>
    </row>
    <row r="154" spans="1:9" ht="15.75" customHeight="1" x14ac:dyDescent="0.3">
      <c r="A154" s="3" t="s">
        <v>147</v>
      </c>
      <c r="B154" s="3" t="s">
        <v>33</v>
      </c>
      <c r="C154" s="3">
        <v>1440</v>
      </c>
      <c r="D154" s="3">
        <v>65</v>
      </c>
      <c r="E154" s="3">
        <v>126524</v>
      </c>
      <c r="F154" s="3">
        <v>4.34</v>
      </c>
      <c r="G154" s="3">
        <v>49772</v>
      </c>
      <c r="H154" s="16">
        <f t="shared" si="7"/>
        <v>1375</v>
      </c>
      <c r="I154" s="19">
        <f t="shared" si="6"/>
        <v>0.13007116498189178</v>
      </c>
    </row>
    <row r="155" spans="1:9" ht="15.75" customHeight="1" x14ac:dyDescent="0.3">
      <c r="A155" s="3" t="s">
        <v>147</v>
      </c>
      <c r="B155" s="3" t="s">
        <v>43</v>
      </c>
      <c r="C155" s="3">
        <v>1884</v>
      </c>
      <c r="D155" s="3">
        <v>177</v>
      </c>
      <c r="E155" s="3">
        <v>230448</v>
      </c>
      <c r="F155" s="3">
        <v>7.8</v>
      </c>
      <c r="G155" s="3">
        <v>22713</v>
      </c>
      <c r="H155" s="16">
        <f t="shared" si="7"/>
        <v>1707</v>
      </c>
      <c r="I155" s="19">
        <f t="shared" si="6"/>
        <v>8.9247580914210506E-2</v>
      </c>
    </row>
    <row r="156" spans="1:9" ht="15.75" customHeight="1" x14ac:dyDescent="0.3">
      <c r="A156" s="3" t="s">
        <v>147</v>
      </c>
      <c r="B156" s="3" t="s">
        <v>14</v>
      </c>
      <c r="C156" s="3">
        <v>861</v>
      </c>
      <c r="D156" s="3">
        <v>153</v>
      </c>
      <c r="E156" s="3">
        <v>317007</v>
      </c>
      <c r="F156" s="3">
        <v>3.85</v>
      </c>
      <c r="G156" s="3">
        <v>8718</v>
      </c>
      <c r="H156" s="16">
        <f t="shared" si="7"/>
        <v>708</v>
      </c>
      <c r="I156" s="19">
        <f t="shared" si="6"/>
        <v>8.7120422654749965E-2</v>
      </c>
    </row>
    <row r="157" spans="1:9" ht="15.75" customHeight="1" x14ac:dyDescent="0.3">
      <c r="A157" s="3" t="s">
        <v>147</v>
      </c>
      <c r="B157" s="3" t="s">
        <v>27</v>
      </c>
      <c r="C157" s="3">
        <v>1063</v>
      </c>
      <c r="D157" s="3">
        <v>47</v>
      </c>
      <c r="E157" s="3">
        <v>464239</v>
      </c>
      <c r="F157" s="3">
        <v>6.58</v>
      </c>
      <c r="G157" s="3">
        <v>39031</v>
      </c>
      <c r="H157" s="16">
        <f t="shared" si="7"/>
        <v>1016</v>
      </c>
      <c r="I157" s="19">
        <f t="shared" si="6"/>
        <v>8.6563474282875155E-2</v>
      </c>
    </row>
    <row r="158" spans="1:9" ht="15.75" customHeight="1" x14ac:dyDescent="0.3">
      <c r="A158" s="3" t="s">
        <v>197</v>
      </c>
      <c r="B158" s="3" t="s">
        <v>33</v>
      </c>
      <c r="C158" s="3">
        <v>1371</v>
      </c>
      <c r="D158" s="3">
        <v>56</v>
      </c>
      <c r="E158" s="3">
        <v>257579</v>
      </c>
      <c r="F158" s="3">
        <v>8.6199999999999992</v>
      </c>
      <c r="G158" s="3">
        <v>33799</v>
      </c>
      <c r="H158" s="16">
        <f t="shared" si="7"/>
        <v>1315</v>
      </c>
      <c r="I158" s="19">
        <f t="shared" si="6"/>
        <v>7.3715632234816059E-2</v>
      </c>
    </row>
    <row r="159" spans="1:9" ht="15.75" customHeight="1" x14ac:dyDescent="0.3">
      <c r="A159" s="3" t="s">
        <v>197</v>
      </c>
      <c r="B159" s="3" t="s">
        <v>43</v>
      </c>
      <c r="C159" s="3">
        <v>345</v>
      </c>
      <c r="D159" s="3">
        <v>464</v>
      </c>
      <c r="E159" s="3">
        <v>366881</v>
      </c>
      <c r="F159" s="3">
        <v>4.55</v>
      </c>
      <c r="G159" s="3">
        <v>20553</v>
      </c>
      <c r="H159" s="16">
        <f t="shared" si="7"/>
        <v>-119</v>
      </c>
      <c r="I159" s="19">
        <f t="shared" si="6"/>
        <v>5.1790607324794805E-2</v>
      </c>
    </row>
    <row r="160" spans="1:9" ht="15.75" customHeight="1" x14ac:dyDescent="0.3">
      <c r="A160" s="3" t="s">
        <v>197</v>
      </c>
      <c r="B160" s="3" t="s">
        <v>14</v>
      </c>
      <c r="C160" s="3">
        <v>946</v>
      </c>
      <c r="D160" s="3">
        <v>47</v>
      </c>
      <c r="E160" s="3">
        <v>466575</v>
      </c>
      <c r="F160" s="3">
        <v>8.33</v>
      </c>
      <c r="G160" s="3">
        <v>10002</v>
      </c>
      <c r="H160" s="16">
        <f t="shared" si="7"/>
        <v>899</v>
      </c>
      <c r="I160" s="19">
        <f t="shared" si="6"/>
        <v>5.3457249151943297E-2</v>
      </c>
    </row>
    <row r="161" spans="1:9" ht="15.75" customHeight="1" x14ac:dyDescent="0.3">
      <c r="A161" s="3" t="s">
        <v>197</v>
      </c>
      <c r="B161" s="3" t="s">
        <v>27</v>
      </c>
      <c r="C161" s="3">
        <v>510</v>
      </c>
      <c r="D161" s="3">
        <v>195</v>
      </c>
      <c r="E161" s="3">
        <v>224534</v>
      </c>
      <c r="F161" s="3">
        <v>9.4</v>
      </c>
      <c r="G161" s="3">
        <v>30987</v>
      </c>
      <c r="H161" s="16">
        <f t="shared" si="7"/>
        <v>315</v>
      </c>
      <c r="I161" s="19">
        <f t="shared" si="6"/>
        <v>5.9129349556227596E-2</v>
      </c>
    </row>
    <row r="162" spans="1:9" ht="15.75" customHeight="1" x14ac:dyDescent="0.3">
      <c r="A162" s="3" t="s">
        <v>586</v>
      </c>
      <c r="B162" s="3" t="s">
        <v>33</v>
      </c>
      <c r="C162" s="3">
        <v>393</v>
      </c>
      <c r="D162" s="3">
        <v>181</v>
      </c>
      <c r="E162" s="3">
        <v>462142</v>
      </c>
      <c r="F162" s="3">
        <v>7.23</v>
      </c>
      <c r="G162" s="3">
        <v>6296</v>
      </c>
      <c r="H162" s="16">
        <f t="shared" si="7"/>
        <v>212</v>
      </c>
      <c r="I162" s="19">
        <f t="shared" ref="I162:I193" si="8">CORREL(G162:G361, H162:H361)</f>
        <v>7.4617898143841191E-2</v>
      </c>
    </row>
    <row r="163" spans="1:9" ht="15.75" customHeight="1" x14ac:dyDescent="0.3">
      <c r="A163" s="3" t="s">
        <v>586</v>
      </c>
      <c r="B163" s="3" t="s">
        <v>43</v>
      </c>
      <c r="C163" s="3">
        <v>1098</v>
      </c>
      <c r="D163" s="3">
        <v>190</v>
      </c>
      <c r="E163" s="3">
        <v>340842</v>
      </c>
      <c r="F163" s="3">
        <v>9.39</v>
      </c>
      <c r="G163" s="3">
        <v>21539</v>
      </c>
      <c r="H163" s="16">
        <f t="shared" si="7"/>
        <v>908</v>
      </c>
      <c r="I163" s="19">
        <f t="shared" si="8"/>
        <v>5.0335214856877405E-2</v>
      </c>
    </row>
    <row r="164" spans="1:9" ht="15.75" customHeight="1" x14ac:dyDescent="0.3">
      <c r="A164" s="3" t="s">
        <v>586</v>
      </c>
      <c r="B164" s="3" t="s">
        <v>14</v>
      </c>
      <c r="C164" s="3">
        <v>1399</v>
      </c>
      <c r="D164" s="3">
        <v>49</v>
      </c>
      <c r="E164" s="3">
        <v>12471</v>
      </c>
      <c r="F164" s="3">
        <v>5.12</v>
      </c>
      <c r="G164" s="3">
        <v>14722</v>
      </c>
      <c r="H164" s="16">
        <f t="shared" si="7"/>
        <v>1350</v>
      </c>
      <c r="I164" s="19">
        <f t="shared" si="8"/>
        <v>5.0037629187501299E-2</v>
      </c>
    </row>
    <row r="165" spans="1:9" ht="15.75" customHeight="1" x14ac:dyDescent="0.3">
      <c r="A165" s="3" t="s">
        <v>586</v>
      </c>
      <c r="B165" s="3" t="s">
        <v>27</v>
      </c>
      <c r="C165" s="3">
        <v>1658</v>
      </c>
      <c r="D165" s="3">
        <v>416</v>
      </c>
      <c r="E165" s="3">
        <v>98397</v>
      </c>
      <c r="F165" s="3">
        <v>6.11</v>
      </c>
      <c r="G165" s="3">
        <v>11383</v>
      </c>
      <c r="H165" s="16">
        <f t="shared" si="7"/>
        <v>1242</v>
      </c>
      <c r="I165" s="19">
        <f t="shared" si="8"/>
        <v>6.3337738140641198E-2</v>
      </c>
    </row>
    <row r="166" spans="1:9" ht="15.75" customHeight="1" x14ac:dyDescent="0.3">
      <c r="A166" s="3" t="s">
        <v>587</v>
      </c>
      <c r="B166" s="3" t="s">
        <v>33</v>
      </c>
      <c r="C166" s="3">
        <v>1102</v>
      </c>
      <c r="D166" s="3">
        <v>422</v>
      </c>
      <c r="E166" s="3">
        <v>410330</v>
      </c>
      <c r="F166" s="3">
        <v>7.74</v>
      </c>
      <c r="G166" s="3">
        <v>9480</v>
      </c>
      <c r="H166" s="16">
        <f t="shared" si="7"/>
        <v>680</v>
      </c>
      <c r="I166" s="19">
        <f t="shared" si="8"/>
        <v>8.1243801334500057E-2</v>
      </c>
    </row>
    <row r="167" spans="1:9" ht="15.75" customHeight="1" x14ac:dyDescent="0.3">
      <c r="A167" s="3" t="s">
        <v>587</v>
      </c>
      <c r="B167" s="3" t="s">
        <v>43</v>
      </c>
      <c r="C167" s="3">
        <v>1358</v>
      </c>
      <c r="D167" s="3">
        <v>242</v>
      </c>
      <c r="E167" s="3">
        <v>342129</v>
      </c>
      <c r="F167" s="3">
        <v>4.9400000000000004</v>
      </c>
      <c r="G167" s="3">
        <v>29116</v>
      </c>
      <c r="H167" s="16">
        <f t="shared" si="7"/>
        <v>1116</v>
      </c>
      <c r="I167" s="19">
        <f t="shared" si="8"/>
        <v>7.9788416584780544E-2</v>
      </c>
    </row>
    <row r="168" spans="1:9" ht="15.75" customHeight="1" x14ac:dyDescent="0.3">
      <c r="A168" s="3" t="s">
        <v>587</v>
      </c>
      <c r="B168" s="3" t="s">
        <v>14</v>
      </c>
      <c r="C168" s="3">
        <v>1077</v>
      </c>
      <c r="D168" s="3">
        <v>216</v>
      </c>
      <c r="E168" s="3">
        <v>12447</v>
      </c>
      <c r="F168" s="3">
        <v>1.8</v>
      </c>
      <c r="G168" s="3">
        <v>14068</v>
      </c>
      <c r="H168" s="16">
        <f t="shared" si="7"/>
        <v>861</v>
      </c>
      <c r="I168" s="19">
        <f t="shared" si="8"/>
        <v>7.0241082156982562E-2</v>
      </c>
    </row>
    <row r="169" spans="1:9" ht="15.75" customHeight="1" x14ac:dyDescent="0.3">
      <c r="A169" s="3" t="s">
        <v>587</v>
      </c>
      <c r="B169" s="3" t="s">
        <v>27</v>
      </c>
      <c r="C169" s="3">
        <v>1596</v>
      </c>
      <c r="D169" s="3">
        <v>211</v>
      </c>
      <c r="E169" s="3">
        <v>17380</v>
      </c>
      <c r="F169" s="3">
        <v>8.64</v>
      </c>
      <c r="G169" s="3">
        <v>35801</v>
      </c>
      <c r="H169" s="16">
        <f t="shared" si="7"/>
        <v>1385</v>
      </c>
      <c r="I169" s="19">
        <f t="shared" si="8"/>
        <v>7.4204671652527837E-2</v>
      </c>
    </row>
    <row r="170" spans="1:9" ht="15.75" customHeight="1" x14ac:dyDescent="0.3">
      <c r="A170" s="3" t="s">
        <v>234</v>
      </c>
      <c r="B170" s="3" t="s">
        <v>33</v>
      </c>
      <c r="C170" s="3">
        <v>490</v>
      </c>
      <c r="D170" s="3">
        <v>29</v>
      </c>
      <c r="E170" s="3">
        <v>364810</v>
      </c>
      <c r="F170" s="3">
        <v>1.53</v>
      </c>
      <c r="G170" s="3">
        <v>49077</v>
      </c>
      <c r="H170" s="16">
        <f t="shared" si="7"/>
        <v>461</v>
      </c>
      <c r="I170" s="19">
        <f t="shared" si="8"/>
        <v>4.1122774396976355E-2</v>
      </c>
    </row>
    <row r="171" spans="1:9" ht="15.75" customHeight="1" x14ac:dyDescent="0.3">
      <c r="A171" s="3" t="s">
        <v>234</v>
      </c>
      <c r="B171" s="3" t="s">
        <v>43</v>
      </c>
      <c r="C171" s="3">
        <v>609</v>
      </c>
      <c r="D171" s="3">
        <v>135</v>
      </c>
      <c r="E171" s="3">
        <v>373606</v>
      </c>
      <c r="F171" s="3">
        <v>8.52</v>
      </c>
      <c r="G171" s="3">
        <v>21453</v>
      </c>
      <c r="H171" s="16">
        <f t="shared" si="7"/>
        <v>474</v>
      </c>
      <c r="I171" s="19">
        <f t="shared" si="8"/>
        <v>7.1038700773939478E-2</v>
      </c>
    </row>
    <row r="172" spans="1:9" ht="15.75" customHeight="1" x14ac:dyDescent="0.3">
      <c r="A172" s="3" t="s">
        <v>234</v>
      </c>
      <c r="B172" s="3" t="s">
        <v>14</v>
      </c>
      <c r="C172" s="3">
        <v>364</v>
      </c>
      <c r="D172" s="3">
        <v>72</v>
      </c>
      <c r="E172" s="3">
        <v>211090</v>
      </c>
      <c r="F172" s="3">
        <v>5.53</v>
      </c>
      <c r="G172" s="3">
        <v>21061</v>
      </c>
      <c r="H172" s="16">
        <f t="shared" si="7"/>
        <v>292</v>
      </c>
      <c r="I172" s="19">
        <f t="shared" si="8"/>
        <v>7.2387074718469141E-2</v>
      </c>
    </row>
    <row r="173" spans="1:9" ht="15.75" customHeight="1" x14ac:dyDescent="0.3">
      <c r="A173" s="3" t="s">
        <v>234</v>
      </c>
      <c r="B173" s="3" t="s">
        <v>27</v>
      </c>
      <c r="C173" s="3">
        <v>442</v>
      </c>
      <c r="D173" s="3">
        <v>53</v>
      </c>
      <c r="E173" s="3">
        <v>441931</v>
      </c>
      <c r="F173" s="3">
        <v>1.87</v>
      </c>
      <c r="G173" s="3">
        <v>20059</v>
      </c>
      <c r="H173" s="16">
        <f t="shared" si="7"/>
        <v>389</v>
      </c>
      <c r="I173" s="19">
        <f t="shared" si="8"/>
        <v>7.4514248304207276E-2</v>
      </c>
    </row>
    <row r="174" spans="1:9" ht="15.75" customHeight="1" x14ac:dyDescent="0.3">
      <c r="A174" s="3" t="s">
        <v>588</v>
      </c>
      <c r="B174" s="3" t="s">
        <v>33</v>
      </c>
      <c r="C174" s="3">
        <v>1033</v>
      </c>
      <c r="D174" s="3">
        <v>392</v>
      </c>
      <c r="E174" s="3">
        <v>282780</v>
      </c>
      <c r="F174" s="3">
        <v>6.27</v>
      </c>
      <c r="G174" s="3">
        <v>23140</v>
      </c>
      <c r="H174" s="16">
        <f t="shared" si="7"/>
        <v>641</v>
      </c>
      <c r="I174" s="19">
        <f t="shared" si="8"/>
        <v>7.4782915367503117E-2</v>
      </c>
    </row>
    <row r="175" spans="1:9" ht="15.75" customHeight="1" x14ac:dyDescent="0.3">
      <c r="A175" s="3" t="s">
        <v>588</v>
      </c>
      <c r="B175" s="3" t="s">
        <v>43</v>
      </c>
      <c r="C175" s="3">
        <v>988</v>
      </c>
      <c r="D175" s="3">
        <v>474</v>
      </c>
      <c r="E175" s="3">
        <v>370070</v>
      </c>
      <c r="F175" s="3">
        <v>9.4600000000000009</v>
      </c>
      <c r="G175" s="3">
        <v>23461</v>
      </c>
      <c r="H175" s="16">
        <f t="shared" si="7"/>
        <v>514</v>
      </c>
      <c r="I175" s="19">
        <f t="shared" si="8"/>
        <v>7.6124990215041863E-2</v>
      </c>
    </row>
    <row r="176" spans="1:9" ht="15.75" customHeight="1" x14ac:dyDescent="0.3">
      <c r="A176" s="3" t="s">
        <v>588</v>
      </c>
      <c r="B176" s="3" t="s">
        <v>14</v>
      </c>
      <c r="C176" s="3">
        <v>1946</v>
      </c>
      <c r="D176" s="3">
        <v>270</v>
      </c>
      <c r="E176" s="3">
        <v>198350</v>
      </c>
      <c r="F176" s="3">
        <v>7.5</v>
      </c>
      <c r="G176" s="3">
        <v>11805</v>
      </c>
      <c r="H176" s="16">
        <f t="shared" si="7"/>
        <v>1676</v>
      </c>
      <c r="I176" s="19">
        <f t="shared" si="8"/>
        <v>7.9690675187109317E-2</v>
      </c>
    </row>
    <row r="177" spans="1:9" ht="15.75" customHeight="1" x14ac:dyDescent="0.3">
      <c r="A177" s="3" t="s">
        <v>588</v>
      </c>
      <c r="B177" s="3" t="s">
        <v>27</v>
      </c>
      <c r="C177" s="3">
        <v>1957</v>
      </c>
      <c r="D177" s="3">
        <v>490</v>
      </c>
      <c r="E177" s="3">
        <v>435726</v>
      </c>
      <c r="F177" s="3">
        <v>4.7300000000000004</v>
      </c>
      <c r="G177" s="3">
        <v>15969</v>
      </c>
      <c r="H177" s="16">
        <f t="shared" si="7"/>
        <v>1467</v>
      </c>
      <c r="I177" s="19">
        <f t="shared" si="8"/>
        <v>0.11645556949542354</v>
      </c>
    </row>
    <row r="178" spans="1:9" ht="15.75" customHeight="1" x14ac:dyDescent="0.3">
      <c r="A178" s="3" t="s">
        <v>412</v>
      </c>
      <c r="B178" s="3" t="s">
        <v>33</v>
      </c>
      <c r="C178" s="3">
        <v>559</v>
      </c>
      <c r="D178" s="3">
        <v>392</v>
      </c>
      <c r="E178" s="3">
        <v>78789</v>
      </c>
      <c r="F178" s="3">
        <v>3.19</v>
      </c>
      <c r="G178" s="3">
        <v>2436</v>
      </c>
      <c r="H178" s="16">
        <f t="shared" si="7"/>
        <v>167</v>
      </c>
      <c r="I178" s="19">
        <f t="shared" si="8"/>
        <v>0.13480926769543944</v>
      </c>
    </row>
    <row r="179" spans="1:9" ht="15.75" customHeight="1" x14ac:dyDescent="0.3">
      <c r="A179" s="3" t="s">
        <v>412</v>
      </c>
      <c r="B179" s="3" t="s">
        <v>43</v>
      </c>
      <c r="C179" s="3">
        <v>1307</v>
      </c>
      <c r="D179" s="3">
        <v>278</v>
      </c>
      <c r="E179" s="3">
        <v>98596</v>
      </c>
      <c r="F179" s="3">
        <v>2.4900000000000002</v>
      </c>
      <c r="G179" s="3">
        <v>47603</v>
      </c>
      <c r="H179" s="16">
        <f t="shared" si="7"/>
        <v>1029</v>
      </c>
      <c r="I179" s="19">
        <f t="shared" si="8"/>
        <v>9.6703121561664176E-2</v>
      </c>
    </row>
    <row r="180" spans="1:9" ht="15.75" customHeight="1" x14ac:dyDescent="0.3">
      <c r="A180" s="3" t="s">
        <v>412</v>
      </c>
      <c r="B180" s="3" t="s">
        <v>14</v>
      </c>
      <c r="C180" s="3">
        <v>1432</v>
      </c>
      <c r="D180" s="3">
        <v>425</v>
      </c>
      <c r="E180" s="3">
        <v>29589</v>
      </c>
      <c r="F180" s="3">
        <v>4.5</v>
      </c>
      <c r="G180" s="3">
        <v>42964</v>
      </c>
      <c r="H180" s="16">
        <f t="shared" si="7"/>
        <v>1007</v>
      </c>
      <c r="I180" s="19">
        <f t="shared" si="8"/>
        <v>6.1158389178270163E-2</v>
      </c>
    </row>
    <row r="181" spans="1:9" ht="15.75" customHeight="1" x14ac:dyDescent="0.3">
      <c r="A181" s="3" t="s">
        <v>412</v>
      </c>
      <c r="B181" s="3" t="s">
        <v>27</v>
      </c>
      <c r="C181" s="3">
        <v>623</v>
      </c>
      <c r="D181" s="3">
        <v>414</v>
      </c>
      <c r="E181" s="3">
        <v>290354</v>
      </c>
      <c r="F181" s="3">
        <v>6.49</v>
      </c>
      <c r="G181" s="3">
        <v>39923</v>
      </c>
      <c r="H181" s="16">
        <f t="shared" si="7"/>
        <v>209</v>
      </c>
      <c r="I181" s="19">
        <f t="shared" si="8"/>
        <v>2.5879340146319384E-2</v>
      </c>
    </row>
    <row r="182" spans="1:9" ht="15.75" customHeight="1" x14ac:dyDescent="0.3">
      <c r="A182" s="3" t="s">
        <v>589</v>
      </c>
      <c r="B182" s="3" t="s">
        <v>33</v>
      </c>
      <c r="C182" s="3">
        <v>198</v>
      </c>
      <c r="D182" s="3">
        <v>358</v>
      </c>
      <c r="E182" s="3">
        <v>66682</v>
      </c>
      <c r="F182" s="3">
        <v>6.73</v>
      </c>
      <c r="G182" s="3">
        <v>2293</v>
      </c>
      <c r="H182" s="16">
        <f t="shared" si="7"/>
        <v>-160</v>
      </c>
      <c r="I182" s="19">
        <f t="shared" si="8"/>
        <v>8.6899531255440685E-2</v>
      </c>
    </row>
    <row r="183" spans="1:9" ht="15.75" customHeight="1" x14ac:dyDescent="0.3">
      <c r="A183" s="3" t="s">
        <v>589</v>
      </c>
      <c r="B183" s="3" t="s">
        <v>43</v>
      </c>
      <c r="C183" s="3">
        <v>198</v>
      </c>
      <c r="D183" s="3">
        <v>373</v>
      </c>
      <c r="E183" s="3">
        <v>70707</v>
      </c>
      <c r="F183" s="3">
        <v>4.83</v>
      </c>
      <c r="G183" s="3">
        <v>25920</v>
      </c>
      <c r="H183" s="16">
        <f t="shared" si="7"/>
        <v>-175</v>
      </c>
      <c r="I183" s="19">
        <f t="shared" si="8"/>
        <v>6.9925425285100127E-3</v>
      </c>
    </row>
    <row r="184" spans="1:9" ht="15.75" customHeight="1" x14ac:dyDescent="0.3">
      <c r="A184" s="3" t="s">
        <v>589</v>
      </c>
      <c r="B184" s="3" t="s">
        <v>14</v>
      </c>
      <c r="C184" s="3">
        <v>353</v>
      </c>
      <c r="D184" s="3">
        <v>300</v>
      </c>
      <c r="E184" s="3">
        <v>142507</v>
      </c>
      <c r="F184" s="3">
        <v>5.3</v>
      </c>
      <c r="G184" s="3">
        <v>11035</v>
      </c>
      <c r="H184" s="16">
        <f t="shared" si="7"/>
        <v>53</v>
      </c>
      <c r="I184" s="19">
        <f t="shared" si="8"/>
        <v>5.4312866022393068E-2</v>
      </c>
    </row>
    <row r="185" spans="1:9" ht="15.75" customHeight="1" x14ac:dyDescent="0.3">
      <c r="A185" s="3" t="s">
        <v>589</v>
      </c>
      <c r="B185" s="3" t="s">
        <v>27</v>
      </c>
      <c r="C185" s="3">
        <v>520</v>
      </c>
      <c r="D185" s="3">
        <v>375</v>
      </c>
      <c r="E185" s="3">
        <v>369525</v>
      </c>
      <c r="F185" s="3">
        <v>6.54</v>
      </c>
      <c r="G185" s="3">
        <v>20733</v>
      </c>
      <c r="H185" s="16">
        <f t="shared" si="7"/>
        <v>145</v>
      </c>
      <c r="I185" s="19">
        <f t="shared" si="8"/>
        <v>1.7134971538696454E-2</v>
      </c>
    </row>
    <row r="186" spans="1:9" ht="15.75" customHeight="1" x14ac:dyDescent="0.3">
      <c r="A186" s="3" t="s">
        <v>590</v>
      </c>
      <c r="B186" s="3" t="s">
        <v>33</v>
      </c>
      <c r="C186" s="3">
        <v>961</v>
      </c>
      <c r="D186" s="3">
        <v>358</v>
      </c>
      <c r="E186" s="3">
        <v>62942</v>
      </c>
      <c r="F186" s="3">
        <v>6.8</v>
      </c>
      <c r="G186" s="3">
        <v>18693</v>
      </c>
      <c r="H186" s="16">
        <f t="shared" si="7"/>
        <v>603</v>
      </c>
      <c r="I186" s="19">
        <f t="shared" si="8"/>
        <v>2.8891405816073783E-2</v>
      </c>
    </row>
    <row r="187" spans="1:9" ht="15.75" customHeight="1" x14ac:dyDescent="0.3">
      <c r="A187" s="3" t="s">
        <v>590</v>
      </c>
      <c r="B187" s="3" t="s">
        <v>43</v>
      </c>
      <c r="C187" s="3">
        <v>1375</v>
      </c>
      <c r="D187" s="3">
        <v>330</v>
      </c>
      <c r="E187" s="3">
        <v>377382</v>
      </c>
      <c r="F187" s="3">
        <v>2.6</v>
      </c>
      <c r="G187" s="3">
        <v>7875</v>
      </c>
      <c r="H187" s="16">
        <f t="shared" si="7"/>
        <v>1045</v>
      </c>
      <c r="I187" s="19">
        <f t="shared" si="8"/>
        <v>2.9352216191979558E-2</v>
      </c>
    </row>
    <row r="188" spans="1:9" ht="15.75" customHeight="1" x14ac:dyDescent="0.3">
      <c r="A188" s="3" t="s">
        <v>590</v>
      </c>
      <c r="B188" s="3" t="s">
        <v>14</v>
      </c>
      <c r="C188" s="3">
        <v>1147</v>
      </c>
      <c r="D188" s="3">
        <v>388</v>
      </c>
      <c r="E188" s="3">
        <v>333851</v>
      </c>
      <c r="F188" s="3">
        <v>2.44</v>
      </c>
      <c r="G188" s="3">
        <v>8471</v>
      </c>
      <c r="H188" s="16">
        <f t="shared" si="7"/>
        <v>759</v>
      </c>
      <c r="I188" s="19">
        <f t="shared" si="8"/>
        <v>4.1904503560160983E-2</v>
      </c>
    </row>
    <row r="189" spans="1:9" ht="15.75" customHeight="1" x14ac:dyDescent="0.3">
      <c r="A189" s="3" t="s">
        <v>590</v>
      </c>
      <c r="B189" s="3" t="s">
        <v>27</v>
      </c>
      <c r="C189" s="3">
        <v>1707</v>
      </c>
      <c r="D189" s="3">
        <v>74</v>
      </c>
      <c r="E189" s="3">
        <v>270958</v>
      </c>
      <c r="F189" s="3">
        <v>3.09</v>
      </c>
      <c r="G189" s="3">
        <v>14090</v>
      </c>
      <c r="H189" s="16">
        <f t="shared" si="7"/>
        <v>1633</v>
      </c>
      <c r="I189" s="19">
        <f t="shared" si="8"/>
        <v>3.0416566742261345E-2</v>
      </c>
    </row>
    <row r="190" spans="1:9" ht="15.75" customHeight="1" x14ac:dyDescent="0.3">
      <c r="A190" s="3" t="s">
        <v>364</v>
      </c>
      <c r="B190" s="3" t="s">
        <v>33</v>
      </c>
      <c r="C190" s="3">
        <v>1693</v>
      </c>
      <c r="D190" s="3">
        <v>154</v>
      </c>
      <c r="E190" s="3">
        <v>445944</v>
      </c>
      <c r="F190" s="3">
        <v>5.69</v>
      </c>
      <c r="G190" s="3">
        <v>14216</v>
      </c>
      <c r="H190" s="16">
        <f t="shared" si="7"/>
        <v>1539</v>
      </c>
      <c r="I190" s="19">
        <f t="shared" si="8"/>
        <v>7.1454027621242588E-2</v>
      </c>
    </row>
    <row r="191" spans="1:9" ht="15.75" customHeight="1" x14ac:dyDescent="0.3">
      <c r="A191" s="3" t="s">
        <v>364</v>
      </c>
      <c r="B191" s="3" t="s">
        <v>43</v>
      </c>
      <c r="C191" s="3">
        <v>833</v>
      </c>
      <c r="D191" s="3">
        <v>380</v>
      </c>
      <c r="E191" s="3">
        <v>224830</v>
      </c>
      <c r="F191" s="3">
        <v>3.86</v>
      </c>
      <c r="G191" s="3">
        <v>3582</v>
      </c>
      <c r="H191" s="16">
        <f t="shared" si="7"/>
        <v>453</v>
      </c>
      <c r="I191" s="19">
        <f t="shared" si="8"/>
        <v>0.11858574927042231</v>
      </c>
    </row>
    <row r="192" spans="1:9" ht="15.75" customHeight="1" x14ac:dyDescent="0.3">
      <c r="A192" s="3" t="s">
        <v>364</v>
      </c>
      <c r="B192" s="3" t="s">
        <v>14</v>
      </c>
      <c r="C192" s="3">
        <v>1222</v>
      </c>
      <c r="D192" s="3">
        <v>274</v>
      </c>
      <c r="E192" s="3">
        <v>487289</v>
      </c>
      <c r="F192" s="3">
        <v>3.16</v>
      </c>
      <c r="G192" s="3">
        <v>32500</v>
      </c>
      <c r="H192" s="16">
        <f t="shared" si="7"/>
        <v>948</v>
      </c>
      <c r="I192" s="19">
        <f t="shared" si="8"/>
        <v>6.7393888504825319E-2</v>
      </c>
    </row>
    <row r="193" spans="1:9" ht="15.75" customHeight="1" x14ac:dyDescent="0.3">
      <c r="A193" s="3" t="s">
        <v>364</v>
      </c>
      <c r="B193" s="3" t="s">
        <v>27</v>
      </c>
      <c r="C193" s="3">
        <v>777</v>
      </c>
      <c r="D193" s="3">
        <v>140</v>
      </c>
      <c r="E193" s="3">
        <v>11435</v>
      </c>
      <c r="F193" s="3">
        <v>1.6</v>
      </c>
      <c r="G193" s="3">
        <v>6832</v>
      </c>
      <c r="H193" s="16">
        <f t="shared" si="7"/>
        <v>637</v>
      </c>
      <c r="I193" s="19">
        <f t="shared" si="8"/>
        <v>5.5701486641801523E-2</v>
      </c>
    </row>
    <row r="194" spans="1:9" ht="15.75" customHeight="1" x14ac:dyDescent="0.3">
      <c r="A194" s="3" t="s">
        <v>79</v>
      </c>
      <c r="B194" s="3" t="s">
        <v>33</v>
      </c>
      <c r="C194" s="3">
        <v>1957</v>
      </c>
      <c r="D194" s="3">
        <v>76</v>
      </c>
      <c r="E194" s="3">
        <v>447902</v>
      </c>
      <c r="F194" s="3">
        <v>6.09</v>
      </c>
      <c r="G194" s="3">
        <v>33381</v>
      </c>
      <c r="H194" s="16">
        <f t="shared" si="7"/>
        <v>1881</v>
      </c>
      <c r="I194" s="19">
        <f t="shared" ref="I194:I201" si="9">CORREL(G194:G393, H194:H393)</f>
        <v>3.0246331754441837E-2</v>
      </c>
    </row>
    <row r="195" spans="1:9" ht="15.75" customHeight="1" x14ac:dyDescent="0.3">
      <c r="A195" s="3" t="s">
        <v>79</v>
      </c>
      <c r="B195" s="3" t="s">
        <v>43</v>
      </c>
      <c r="C195" s="3">
        <v>405</v>
      </c>
      <c r="D195" s="3">
        <v>66</v>
      </c>
      <c r="E195" s="3">
        <v>418696</v>
      </c>
      <c r="F195" s="3">
        <v>5.59</v>
      </c>
      <c r="G195" s="3">
        <v>48419</v>
      </c>
      <c r="H195" s="16">
        <f t="shared" ref="H195:H201" si="10">C195-D195</f>
        <v>339</v>
      </c>
      <c r="I195" s="19">
        <f t="shared" si="9"/>
        <v>-0.10553681703320204</v>
      </c>
    </row>
    <row r="196" spans="1:9" ht="15.75" customHeight="1" x14ac:dyDescent="0.3">
      <c r="A196" s="3" t="s">
        <v>79</v>
      </c>
      <c r="B196" s="3" t="s">
        <v>14</v>
      </c>
      <c r="C196" s="3">
        <v>1581</v>
      </c>
      <c r="D196" s="3">
        <v>71</v>
      </c>
      <c r="E196" s="3">
        <v>484364</v>
      </c>
      <c r="F196" s="3">
        <v>3.55</v>
      </c>
      <c r="G196" s="3">
        <v>16149</v>
      </c>
      <c r="H196" s="16">
        <f t="shared" si="10"/>
        <v>1510</v>
      </c>
      <c r="I196" s="19">
        <f t="shared" si="9"/>
        <v>2.5135048108453194E-2</v>
      </c>
    </row>
    <row r="197" spans="1:9" ht="15.75" customHeight="1" x14ac:dyDescent="0.3">
      <c r="A197" s="3" t="s">
        <v>79</v>
      </c>
      <c r="B197" s="3" t="s">
        <v>27</v>
      </c>
      <c r="C197" s="3">
        <v>1035</v>
      </c>
      <c r="D197" s="3">
        <v>171</v>
      </c>
      <c r="E197" s="3">
        <v>148477</v>
      </c>
      <c r="F197" s="3">
        <v>5.21</v>
      </c>
      <c r="G197" s="3">
        <v>7541</v>
      </c>
      <c r="H197" s="16">
        <f t="shared" si="10"/>
        <v>864</v>
      </c>
      <c r="I197" s="19">
        <f t="shared" si="9"/>
        <v>6.4962199365569212E-2</v>
      </c>
    </row>
    <row r="198" spans="1:9" ht="15.75" customHeight="1" x14ac:dyDescent="0.3">
      <c r="A198" s="3" t="s">
        <v>28</v>
      </c>
      <c r="B198" s="3" t="s">
        <v>33</v>
      </c>
      <c r="C198" s="3">
        <v>1765</v>
      </c>
      <c r="D198" s="3">
        <v>109</v>
      </c>
      <c r="E198" s="3">
        <v>468301</v>
      </c>
      <c r="F198" s="3">
        <v>1.82</v>
      </c>
      <c r="G198" s="3">
        <v>20042</v>
      </c>
      <c r="H198" s="16">
        <f t="shared" si="10"/>
        <v>1656</v>
      </c>
      <c r="I198" s="19">
        <f t="shared" si="9"/>
        <v>0.15245406611333293</v>
      </c>
    </row>
    <row r="199" spans="1:9" ht="15.75" customHeight="1" x14ac:dyDescent="0.3">
      <c r="A199" s="3" t="s">
        <v>28</v>
      </c>
      <c r="B199" s="3" t="s">
        <v>43</v>
      </c>
      <c r="C199" s="3">
        <v>837</v>
      </c>
      <c r="D199" s="3">
        <v>430</v>
      </c>
      <c r="E199" s="3">
        <v>364820</v>
      </c>
      <c r="F199" s="3">
        <v>4</v>
      </c>
      <c r="G199" s="3">
        <v>49400</v>
      </c>
      <c r="H199" s="16">
        <f t="shared" si="10"/>
        <v>407</v>
      </c>
      <c r="I199" s="19">
        <f t="shared" si="9"/>
        <v>0.50489942705286073</v>
      </c>
    </row>
    <row r="200" spans="1:9" ht="15.75" customHeight="1" x14ac:dyDescent="0.3">
      <c r="A200" s="3" t="s">
        <v>28</v>
      </c>
      <c r="B200" s="3" t="s">
        <v>14</v>
      </c>
      <c r="C200" s="3">
        <v>337</v>
      </c>
      <c r="D200" s="3">
        <v>68</v>
      </c>
      <c r="E200" s="3">
        <v>456298</v>
      </c>
      <c r="F200" s="3">
        <v>7.57</v>
      </c>
      <c r="G200" s="3">
        <v>4007</v>
      </c>
      <c r="H200" s="16">
        <f t="shared" si="10"/>
        <v>269</v>
      </c>
      <c r="I200" s="19">
        <f t="shared" si="9"/>
        <v>-1</v>
      </c>
    </row>
    <row r="201" spans="1:9" ht="15.75" customHeight="1" x14ac:dyDescent="0.3">
      <c r="A201" s="3" t="s">
        <v>28</v>
      </c>
      <c r="B201" s="3" t="s">
        <v>27</v>
      </c>
      <c r="C201" s="3">
        <v>119</v>
      </c>
      <c r="D201" s="3">
        <v>456</v>
      </c>
      <c r="E201" s="3">
        <v>82558</v>
      </c>
      <c r="F201" s="3">
        <v>6.81</v>
      </c>
      <c r="G201" s="3">
        <v>12174</v>
      </c>
      <c r="H201" s="16">
        <f t="shared" si="10"/>
        <v>-337</v>
      </c>
      <c r="I201" s="19" t="e">
        <f t="shared" si="9"/>
        <v>#DIV/0!</v>
      </c>
    </row>
    <row r="202" spans="1:9" ht="15.75" customHeight="1" x14ac:dyDescent="0.3"/>
    <row r="203" spans="1:9" ht="15.75" customHeight="1" x14ac:dyDescent="0.3"/>
    <row r="204" spans="1:9" ht="15.75" customHeight="1" x14ac:dyDescent="0.3"/>
    <row r="205" spans="1:9" ht="15.75" customHeight="1" x14ac:dyDescent="0.3"/>
    <row r="206" spans="1:9" ht="15.75" customHeight="1" x14ac:dyDescent="0.3"/>
    <row r="207" spans="1:9" ht="15.75" customHeight="1" x14ac:dyDescent="0.3"/>
    <row r="208" spans="1:9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000"/>
  <sheetViews>
    <sheetView zoomScale="110" zoomScaleNormal="110" workbookViewId="0">
      <selection activeCell="I1" sqref="I1"/>
    </sheetView>
  </sheetViews>
  <sheetFormatPr defaultColWidth="17.109375" defaultRowHeight="15" customHeight="1" x14ac:dyDescent="0.3"/>
  <cols>
    <col min="6" max="6" width="18.33203125" customWidth="1"/>
    <col min="7" max="7" width="32.109375" customWidth="1"/>
    <col min="8" max="8" width="19" customWidth="1"/>
  </cols>
  <sheetData>
    <row r="1" spans="1:9" ht="14.4" x14ac:dyDescent="0.3">
      <c r="A1" s="1" t="s">
        <v>12</v>
      </c>
      <c r="B1" s="1" t="s">
        <v>591</v>
      </c>
      <c r="C1" s="1" t="s">
        <v>592</v>
      </c>
      <c r="D1" s="1" t="s">
        <v>593</v>
      </c>
      <c r="E1" s="1" t="s">
        <v>594</v>
      </c>
      <c r="F1" s="1" t="s">
        <v>595</v>
      </c>
      <c r="G1" s="1" t="s">
        <v>596</v>
      </c>
      <c r="H1" s="13"/>
      <c r="I1" s="13"/>
    </row>
    <row r="2" spans="1:9" ht="14.4" x14ac:dyDescent="0.3">
      <c r="A2" s="2" t="s">
        <v>19</v>
      </c>
      <c r="B2" s="2" t="s">
        <v>597</v>
      </c>
      <c r="C2" s="2" t="s">
        <v>315</v>
      </c>
      <c r="D2" s="2" t="s">
        <v>598</v>
      </c>
      <c r="E2" s="2">
        <v>150000</v>
      </c>
      <c r="F2" s="2" t="s">
        <v>599</v>
      </c>
      <c r="G2" s="2" t="s">
        <v>41</v>
      </c>
    </row>
    <row r="3" spans="1:9" ht="14.4" x14ac:dyDescent="0.3">
      <c r="A3" s="2" t="s">
        <v>25</v>
      </c>
      <c r="B3" s="2" t="s">
        <v>600</v>
      </c>
      <c r="C3" s="2" t="s">
        <v>44</v>
      </c>
      <c r="D3" s="2" t="s">
        <v>601</v>
      </c>
      <c r="E3" s="2">
        <v>200000</v>
      </c>
      <c r="F3" s="2" t="s">
        <v>602</v>
      </c>
      <c r="G3" s="2" t="s">
        <v>603</v>
      </c>
    </row>
    <row r="4" spans="1:9" ht="14.4" x14ac:dyDescent="0.3">
      <c r="A4" s="2" t="s">
        <v>31</v>
      </c>
      <c r="B4" s="2" t="s">
        <v>604</v>
      </c>
      <c r="C4" s="2" t="s">
        <v>230</v>
      </c>
      <c r="D4" s="2" t="s">
        <v>605</v>
      </c>
      <c r="E4" s="2">
        <v>250000</v>
      </c>
      <c r="F4" s="2" t="s">
        <v>606</v>
      </c>
      <c r="G4" s="2" t="s">
        <v>607</v>
      </c>
    </row>
    <row r="5" spans="1:9" ht="14.4" x14ac:dyDescent="0.3">
      <c r="A5" s="2" t="s">
        <v>38</v>
      </c>
      <c r="B5" s="2" t="s">
        <v>608</v>
      </c>
      <c r="C5" s="2" t="s">
        <v>588</v>
      </c>
      <c r="D5" s="2" t="s">
        <v>609</v>
      </c>
      <c r="E5" s="2">
        <v>180000</v>
      </c>
      <c r="F5" s="2" t="s">
        <v>610</v>
      </c>
      <c r="G5" s="2" t="s">
        <v>611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A80E20-16D3-4AD4-8522-9665802A51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Task 3</vt:lpstr>
      <vt:lpstr>Posts</vt:lpstr>
      <vt:lpstr>Engagement Summary</vt:lpstr>
      <vt:lpstr>Campaign 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Legion</dc:creator>
  <cp:lastModifiedBy>Lenovo Legion</cp:lastModifiedBy>
  <dcterms:created xsi:type="dcterms:W3CDTF">2025-11-14T18:22:28Z</dcterms:created>
  <dcterms:modified xsi:type="dcterms:W3CDTF">2025-12-08T17:01:24Z</dcterms:modified>
</cp:coreProperties>
</file>